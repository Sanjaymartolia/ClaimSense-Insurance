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Dashboard" sheetId="2" state="visible" r:id="rId2"/>
    <sheet name="Analysis" sheetId="3" state="visible" r:id="rId3"/>
    <sheet name="Team" sheetId="4" state="visible" r:id="rId4"/>
    <sheet name="Master Tasks" sheetId="5" state="visible" r:id="rId5"/>
    <sheet name="1-Domain" sheetId="6" state="visible" r:id="rId6"/>
    <sheet name="2-Knowledge" sheetId="7" state="visible" r:id="rId7"/>
    <sheet name="3-Agents" sheetId="8" state="visible" r:id="rId8"/>
    <sheet name="4-ToolsSec" sheetId="9" state="visible" r:id="rId9"/>
    <sheet name="5-Eval" sheetId="10" state="visible" r:id="rId10"/>
    <sheet name="6-DevOps" sheetId="11" state="visible" r:id="rId11"/>
    <sheet name="Problems Log" sheetId="12" state="visible" r:id="rId12"/>
    <sheet name="Handoffs" sheetId="13" state="visible" r:id="rId13"/>
    <sheet name="Decisions (ADR)" sheetId="14" state="visible" r:id="rId14"/>
    <sheet name="Experiments" sheetId="15" state="visible" r:id="rId15"/>
  </sheets>
  <definedNames>
    <definedName name="_xlnm._FilterDatabase" localSheetId="4" hidden="1">'Master Tasks'!$A$1:$S$400</definedName>
    <definedName name="_xlnm._FilterDatabase" localSheetId="11" hidden="1">'Problems Log'!$A$1:$M$300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</font>
    <font>
      <name val="Arial"/>
      <color theme="1"/>
      <sz val="10"/>
    </font>
    <font>
      <name val="Arial"/>
      <b val="1"/>
      <color rgb="001F3864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164" fontId="0" fillId="0" borderId="0" pivotButton="0" quotePrefix="0" xfId="0"/>
    <xf numFmtId="0" fontId="10" fillId="0" borderId="1" pivotButton="0" quotePrefix="0" xfId="0"/>
    <xf numFmtId="0" fontId="3" fillId="0" borderId="1" pivotButton="0" quotePrefix="0" xfId="0"/>
    <xf numFmtId="9" fontId="3" fillId="0" borderId="1" pivotButton="0" quotePrefix="0" xfId="0"/>
    <xf numFmtId="0" fontId="12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9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0" fontId="13" fillId="4" borderId="0" pivotButton="0" quotePrefix="0" xfId="0"/>
    <xf numFmtId="0" fontId="0" fillId="4" borderId="0" pivotButton="0" quotePrefix="0" xfId="0"/>
    <xf numFmtId="0" fontId="10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9" fontId="7" fillId="3" borderId="1" applyAlignment="1" pivotButton="0" quotePrefix="0" xfId="0">
      <alignment vertical="top" wrapText="1"/>
    </xf>
    <xf numFmtId="164" fontId="4" fillId="0" borderId="0" pivotButton="0" quotePrefix="0" xfId="0"/>
    <xf numFmtId="0" fontId="4" fillId="3" borderId="0" pivotButton="0" quotePrefix="0" xfId="0"/>
    <xf numFmtId="9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left"/>
    </xf>
    <xf numFmtId="164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Done by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'Dashboard'!H16</f>
            </strRef>
          </tx>
          <spPr>
            <a:ln>
              <a:prstDash val="solid"/>
            </a:ln>
          </spPr>
          <cat>
            <numRef>
              <f>'Dashboard'!$A$17:$A$22</f>
            </numRef>
          </cat>
          <val>
            <numRef>
              <f>'Dashboard'!$H$17:$H$22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done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Tracker</author>
  </authors>
  <commentList>
    <comment ref="B26" authorId="0" shapeId="0">
      <text>
        <t>Assumed dates — edit when the final review date is confirmed.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B1" authorId="0" shapeId="0">
      <text>
        <t>Phase dates are an assumption (see README). Edit Start/Due dates per task as needed.</t>
      </text>
    </comment>
    <comment ref="K1" authorId="0" shapeId="0">
      <text>
        <t>Enter as a percentage, e.g. 50%. Set 100% when Status = Done.</t>
      </text>
    </comment>
  </commentList>
</comments>
</file>

<file path=xl/comments/comment3.xml><?xml version="1.0" encoding="utf-8"?>
<comments xmlns="http://schemas.openxmlformats.org/spreadsheetml/2006/main">
  <authors>
    <author>Tracker</author>
  </authors>
  <commentList>
    <comment ref="K1" authorId="0" shapeId="0">
      <text>
        <t>Red when open for more than 2 days — the playbook escalates to a mentor after 48 h.</t>
      </text>
    </comment>
  </commentList>
</comments>
</file>

<file path=xl/comments/comment4.xml><?xml version="1.0" encoding="utf-8"?>
<comments xmlns="http://schemas.openxmlformats.org/spreadsheetml/2006/main">
  <authors>
    <author>Tracker</author>
  </authors>
  <commentList>
    <comment ref="F1" authorId="0" shapeId="0">
      <text>
        <t>Proposed dates aligned to the phase plan (assumption). Agree the real date in the handoff issue.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ClaimSense — Project Tracker</t>
        </is>
      </c>
    </row>
    <row r="2">
      <c r="A2" s="2" t="inlineStr">
        <is>
          <t>Health-insurance claim adjudication · Agentic AI Capstone · Team of 6</t>
        </is>
      </c>
    </row>
    <row r="4">
      <c r="A4" s="3" t="inlineStr">
        <is>
          <t>WHAT EACH TAB IS FOR</t>
        </is>
      </c>
      <c r="B4" s="4" t="inlineStr"/>
    </row>
    <row r="5">
      <c r="A5" s="5" t="inlineStr">
        <is>
          <t>Dashboard</t>
        </is>
      </c>
      <c r="B5" s="6" t="inlineStr">
        <is>
          <t>Live progress: per member, per phase, per lecture layer. All formulas — do not type here.</t>
        </is>
      </c>
    </row>
    <row r="6">
      <c r="A6" s="5" t="inlineStr">
        <is>
          <t>Analysis</t>
        </is>
      </c>
      <c r="B6" s="6" t="inlineStr">
        <is>
          <t>High-level analysis: scope, critical path, workload balance, risks.</t>
        </is>
      </c>
    </row>
    <row r="7">
      <c r="A7" s="5" t="inlineStr">
        <is>
          <t>Team</t>
        </is>
      </c>
      <c r="B7" s="6" t="inlineStr">
        <is>
          <t>Fill in member names, emails, backups. Names flow into every other tab.</t>
        </is>
      </c>
    </row>
    <row r="8">
      <c r="A8" s="5" t="inlineStr">
        <is>
          <t>Master Tasks</t>
        </is>
      </c>
      <c r="B8" s="6" t="inlineStr">
        <is>
          <t>Single source of truth: every task with Problem, Date, Status, Owner. Pre-filled with 64 tasks from the capstone brief.</t>
        </is>
      </c>
    </row>
    <row r="9">
      <c r="A9" s="5" t="inlineStr">
        <is>
          <t>1-Domain … 6-DevOps</t>
        </is>
      </c>
      <c r="B9" s="6" t="inlineStr">
        <is>
          <t>One tab per person: their daily update log (Date, what I did, plan, problem, help needed, hours, evidence).</t>
        </is>
      </c>
    </row>
    <row r="10">
      <c r="A10" s="5" t="inlineStr">
        <is>
          <t>Problems Log</t>
        </is>
      </c>
      <c r="B10" s="6" t="inlineStr">
        <is>
          <t>Every problem/blocker with date raised, owner, days open and resolution. Pre-filled with the open questions from the Discord playbook.</t>
        </is>
      </c>
    </row>
    <row r="11">
      <c r="A11" s="5" t="inlineStr">
        <is>
          <t>Handoffs</t>
        </is>
      </c>
      <c r="B11" s="6" t="inlineStr">
        <is>
          <t>The 9 cross-role handoffs from the playbook, with due dates and status.</t>
        </is>
      </c>
    </row>
    <row r="12">
      <c r="A12" s="5" t="inlineStr">
        <is>
          <t>Decisions (ADR)</t>
        </is>
      </c>
      <c r="B12" s="6" t="inlineStr">
        <is>
          <t>Index of architecture decisions.</t>
        </is>
      </c>
    </row>
    <row r="13">
      <c r="A13" s="5" t="inlineStr">
        <is>
          <t>Experiments</t>
        </is>
      </c>
      <c r="B13" s="6" t="inlineStr">
        <is>
          <t>E1–E4 results in the format the brief requires.</t>
        </is>
      </c>
    </row>
    <row r="14">
      <c r="A14" s="5" t="inlineStr"/>
      <c r="B14" s="6" t="inlineStr"/>
    </row>
    <row r="15">
      <c r="A15" s="3" t="inlineStr">
        <is>
          <t>LEGEND</t>
        </is>
      </c>
      <c r="B15" s="4" t="inlineStr"/>
    </row>
    <row r="16">
      <c r="A16" s="7" t="inlineStr">
        <is>
          <t>Yellow cells</t>
        </is>
      </c>
      <c r="B16" s="6" t="inlineStr">
        <is>
          <t>Input cells — fill these in.</t>
        </is>
      </c>
    </row>
    <row r="17">
      <c r="A17" s="5" t="inlineStr">
        <is>
          <t>Dropdowns</t>
        </is>
      </c>
      <c r="B17" s="6" t="inlineStr">
        <is>
          <t>Status, Owner, Priority, Layer use dropdown lists. Pick from the list so the Dashboard counts correctly.</t>
        </is>
      </c>
    </row>
    <row r="18">
      <c r="A18" s="5" t="inlineStr">
        <is>
          <t>Status values</t>
        </is>
      </c>
      <c r="B18" s="6" t="inlineStr">
        <is>
          <t>Not Started → In Progress → In Review → Done, or Blocked.</t>
        </is>
      </c>
    </row>
    <row r="19">
      <c r="A19" s="5" t="inlineStr"/>
      <c r="B19" s="6" t="inlineStr"/>
    </row>
    <row r="20">
      <c r="A20" s="3" t="inlineStr">
        <is>
          <t>TEAM RULES FOR THIS SHEET</t>
        </is>
      </c>
      <c r="B20" s="4" t="inlineStr"/>
    </row>
    <row r="21">
      <c r="A21" s="5" t="inlineStr">
        <is>
          <t>Daily</t>
        </is>
      </c>
      <c r="B21" s="6" t="inlineStr">
        <is>
          <t>Add one row to your own tab by 10:00 on workdays (same as the #daily-updates rule).</t>
        </is>
      </c>
    </row>
    <row r="22">
      <c r="A22" s="5" t="inlineStr">
        <is>
          <t>When a task moves</t>
        </is>
      </c>
      <c r="B22" s="6" t="inlineStr">
        <is>
          <t>Update Status and % Done in Master Tasks. If blocked, set Blocked, fill Problem + Problem Date, and add a row in Problems Log.</t>
        </is>
      </c>
    </row>
    <row r="23">
      <c r="A23" s="5" t="inlineStr">
        <is>
          <t>Evidence</t>
        </is>
      </c>
      <c r="B23" s="6" t="inlineStr">
        <is>
          <t>Always paste a GitHub issue/PR/doc link. GitHub stays the source of truth; this sheet is the progress view.</t>
        </is>
      </c>
    </row>
    <row r="24">
      <c r="A24" s="5" t="inlineStr">
        <is>
          <t>Friday</t>
        </is>
      </c>
      <c r="B24" s="6" t="inlineStr">
        <is>
          <t>15-minute review of the Dashboard: overdue tasks, open problems, members with no updates.</t>
        </is>
      </c>
    </row>
    <row r="25">
      <c r="A25" s="5" t="inlineStr">
        <is>
          <t>Never</t>
        </is>
      </c>
      <c r="B25" s="6" t="inlineStr">
        <is>
          <t>No API keys, real claim data or patient details in this sheet.</t>
        </is>
      </c>
    </row>
    <row r="26">
      <c r="A26" s="5" t="inlineStr"/>
      <c r="B26" s="6" t="inlineStr"/>
    </row>
    <row r="27">
      <c r="A27" s="5" t="inlineStr">
        <is>
          <t>EXAMPLE ROWS (format to follow)</t>
        </is>
      </c>
      <c r="B27" s="6" t="inlineStr"/>
    </row>
    <row r="28">
      <c r="A28" s="5" t="inlineStr">
        <is>
          <t>Daily log row</t>
        </is>
      </c>
      <c r="B28" s="6" t="inlineStr">
        <is>
          <t>2026-10-28 | T09 | Parsed policy PDF into 112 clauses | Add clause metadata + tests | PDF tables break chunking | Open | Tools &amp; Security | 4 | github.com/…/pull/7</t>
        </is>
      </c>
    </row>
    <row r="29">
      <c r="A29" s="5" t="inlineStr">
        <is>
          <t>Problems Log row</t>
        </is>
      </c>
      <c r="B29" s="6" t="inlineStr">
        <is>
          <t>PB-07 | 2026-11-04 | Agents &amp; Orchestration | T26 | L11 Multi-agent | Coverage agent cites wrong clause for ICU | High | Knowledge &amp; Memory | Open | | (auto) | | issue #21</t>
        </is>
      </c>
    </row>
    <row r="30">
      <c r="A30" s="5" t="inlineStr"/>
      <c r="B30" s="6" t="inlineStr"/>
    </row>
    <row r="31">
      <c r="A31" s="3" t="inlineStr">
        <is>
          <t>ASSUMPTIONS</t>
        </is>
      </c>
      <c r="B31" s="4" t="inlineStr"/>
    </row>
    <row r="32">
      <c r="A32" s="5" t="inlineStr">
        <is>
          <t>Dates</t>
        </is>
      </c>
      <c r="B32" s="6" t="inlineStr">
        <is>
          <t>Phase dates assume a ~9-week plan from 26 Oct 2026 to a final review in the week of 21 Dec 2026. The brief does not give the review date — edit the Phase table on the Dashboard and the Due Dates once it is known.</t>
        </is>
      </c>
    </row>
    <row r="33">
      <c r="A33" s="5" t="inlineStr">
        <is>
          <t>Owners</t>
        </is>
      </c>
      <c r="B33" s="6" t="inlineStr">
        <is>
          <t>Task owners follow the six roles in the capstone guide. Reassign any task with the Owner dropdown.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M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9" customWidth="1" min="4" max="4"/>
    <col width="12" customWidth="1" min="5" max="5"/>
    <col width="9" customWidth="1" min="6" max="6"/>
    <col width="10" customWidth="1" min="7" max="7"/>
    <col width="9" customWidth="1" min="8" max="8"/>
    <col width="10" customWidth="1" min="9" max="9"/>
    <col width="10" customWidth="1" min="10" max="10"/>
    <col width="9" customWidth="1" min="11" max="11"/>
    <col width="13" customWidth="1" min="12" max="12"/>
    <col width="11" customWidth="1" min="13" max="13"/>
  </cols>
  <sheetData>
    <row r="1">
      <c r="A1" s="1" t="inlineStr">
        <is>
          <t>ClaimSense — Progress Dashboard</t>
        </is>
      </c>
    </row>
    <row r="2">
      <c r="A2" s="2" t="inlineStr">
        <is>
          <t>All cells are formulas. Update Master Tasks, member tabs and Problems Log; this page updates itself.</t>
        </is>
      </c>
    </row>
    <row r="4">
      <c r="A4" t="inlineStr">
        <is>
          <t>Today</t>
        </is>
      </c>
      <c r="B4" s="8">
        <f>TODAY()</f>
        <v/>
      </c>
    </row>
    <row r="6">
      <c r="A6" s="9" t="inlineStr">
        <is>
          <t>Total tasks</t>
        </is>
      </c>
      <c r="B6" s="10">
        <f>COUNTA('Master Tasks'!$A$2:$A$400)</f>
        <v/>
      </c>
    </row>
    <row r="7">
      <c r="A7" s="9" t="inlineStr">
        <is>
          <t>Done</t>
        </is>
      </c>
      <c r="B7" s="10">
        <f>COUNTIF('Master Tasks'!$J$2:$J$400,"Done")</f>
        <v/>
      </c>
    </row>
    <row r="8">
      <c r="A8" s="9" t="inlineStr">
        <is>
          <t>% Done</t>
        </is>
      </c>
      <c r="B8" s="11">
        <f>IFERROR(B7/B6,0)</f>
        <v/>
      </c>
    </row>
    <row r="9">
      <c r="A9" s="9" t="inlineStr">
        <is>
          <t>In progress / review</t>
        </is>
      </c>
      <c r="B9" s="10">
        <f>COUNTIF('Master Tasks'!$J$2:$J$400,"In Progress")+COUNTIF('Master Tasks'!$J$2:$J$400,"In Review")</f>
        <v/>
      </c>
    </row>
    <row r="10">
      <c r="A10" s="9" t="inlineStr">
        <is>
          <t>Blocked</t>
        </is>
      </c>
      <c r="B10" s="10">
        <f>COUNTIF('Master Tasks'!$J$2:$J$400,"Blocked")</f>
        <v/>
      </c>
    </row>
    <row r="11">
      <c r="A11" s="9" t="inlineStr">
        <is>
          <t>Overdue</t>
        </is>
      </c>
      <c r="B11" s="10">
        <f>COUNTIF('Master Tasks'!$R$2:$R$400,"OVERDUE")</f>
        <v/>
      </c>
    </row>
    <row r="12">
      <c r="A12" s="9" t="inlineStr">
        <is>
          <t>Open problems</t>
        </is>
      </c>
      <c r="B12" s="10">
        <f>COUNTIFS('Problems Log'!$A$2:$A$300,"&lt;&gt;",'Problems Log'!$I$2:$I$300,"&lt;&gt;Resolved")</f>
        <v/>
      </c>
    </row>
    <row r="13">
      <c r="A13" s="9" t="inlineStr">
        <is>
          <t>Avg % complete (all tasks)</t>
        </is>
      </c>
      <c r="B13" s="11">
        <f>IFERROR(SUMPRODUCT(('Master Tasks'!$A$2:$A$400&lt;&gt;"")*'Master Tasks'!$K$2:$K$400)/B6,0)</f>
        <v/>
      </c>
    </row>
    <row r="15">
      <c r="A15" s="12" t="inlineStr">
        <is>
          <t>PROGRESS BY MEMBER</t>
        </is>
      </c>
    </row>
    <row r="16">
      <c r="A16" s="13" t="inlineStr">
        <is>
          <t>Role</t>
        </is>
      </c>
      <c r="B16" s="13" t="inlineStr">
        <is>
          <t>Member</t>
        </is>
      </c>
      <c r="C16" s="13" t="inlineStr">
        <is>
          <t>Tasks</t>
        </is>
      </c>
      <c r="D16" s="13" t="inlineStr">
        <is>
          <t>Done</t>
        </is>
      </c>
      <c r="E16" s="13" t="inlineStr">
        <is>
          <t>In Progress / Review</t>
        </is>
      </c>
      <c r="F16" s="13" t="inlineStr">
        <is>
          <t>Blocked</t>
        </is>
      </c>
      <c r="G16" s="13" t="inlineStr">
        <is>
          <t>Overdue</t>
        </is>
      </c>
      <c r="H16" s="13" t="inlineStr">
        <is>
          <t>% Done</t>
        </is>
      </c>
      <c r="I16" s="13" t="inlineStr">
        <is>
          <t>Avg % Complete</t>
        </is>
      </c>
      <c r="J16" s="13" t="inlineStr">
        <is>
          <t>Open Problems</t>
        </is>
      </c>
      <c r="K16" s="13" t="inlineStr">
        <is>
          <t>Hours Logged</t>
        </is>
      </c>
      <c r="L16" s="13" t="inlineStr">
        <is>
          <t>Last Log Update</t>
        </is>
      </c>
      <c r="M16" s="13" t="inlineStr">
        <is>
          <t>Days Since Update</t>
        </is>
      </c>
    </row>
    <row r="17">
      <c r="A17" s="14" t="inlineStr">
        <is>
          <t>Domain &amp; Product Lead</t>
        </is>
      </c>
      <c r="B17" s="14">
        <f>INDEX(Team!$B$5:$B$10,1)</f>
        <v/>
      </c>
      <c r="C17" s="14">
        <f>COUNTIF('Master Tasks'!$F$2:$F$400,A17)</f>
        <v/>
      </c>
      <c r="D17" s="14">
        <f>COUNTIFS('Master Tasks'!$F$2:$F$400,A17,'Master Tasks'!$J$2:$J$400,"Done")</f>
        <v/>
      </c>
      <c r="E17" s="14">
        <f>COUNTIFS('Master Tasks'!$F$2:$F$400,A17,'Master Tasks'!$J$2:$J$400,"In Progress")+COUNTIFS('Master Tasks'!$F$2:$F$400,A17,'Master Tasks'!$J$2:$J$400,"In Review")</f>
        <v/>
      </c>
      <c r="F17" s="14">
        <f>COUNTIFS('Master Tasks'!$F$2:$F$400,A17,'Master Tasks'!$J$2:$J$400,"Blocked")</f>
        <v/>
      </c>
      <c r="G17" s="14">
        <f>COUNTIFS('Master Tasks'!$F$2:$F$400,A17,'Master Tasks'!$R$2:$R$400,"OVERDUE")</f>
        <v/>
      </c>
      <c r="H17" s="15">
        <f>IFERROR(D17/C17,0)</f>
        <v/>
      </c>
      <c r="I17" s="15">
        <f>IFERROR(SUMIF('Master Tasks'!$F$2:$F$400,A17,'Master Tasks'!$K$2:$K$400)/C17,0)</f>
        <v/>
      </c>
      <c r="J17" s="14">
        <f>COUNTIFS('Problems Log'!$H$2:$H$300,A17,'Problems Log'!$I$2:$I$300,"&lt;&gt;Resolved")+COUNTIF('1-Domain'!$F$6:$F$500,"Open")</f>
        <v/>
      </c>
      <c r="K17" s="14">
        <f>SUM('1-Domain'!$H$6:$H$500)</f>
        <v/>
      </c>
      <c r="L17" s="16">
        <f>IF(MAX('1-Domain'!$A$6:$A$500)=0,"No updates",MAX('1-Domain'!$A$6:$A$500))</f>
        <v/>
      </c>
      <c r="M17" s="14">
        <f>IF(ISNUMBER(L17),TODAY()-L17,"—")</f>
        <v/>
      </c>
    </row>
    <row r="18">
      <c r="A18" s="14" t="inlineStr">
        <is>
          <t>Knowledge &amp; Memory</t>
        </is>
      </c>
      <c r="B18" s="14">
        <f>INDEX(Team!$B$5:$B$10,2)</f>
        <v/>
      </c>
      <c r="C18" s="14">
        <f>COUNTIF('Master Tasks'!$F$2:$F$400,A18)</f>
        <v/>
      </c>
      <c r="D18" s="14">
        <f>COUNTIFS('Master Tasks'!$F$2:$F$400,A18,'Master Tasks'!$J$2:$J$400,"Done")</f>
        <v/>
      </c>
      <c r="E18" s="14">
        <f>COUNTIFS('Master Tasks'!$F$2:$F$400,A18,'Master Tasks'!$J$2:$J$400,"In Progress")+COUNTIFS('Master Tasks'!$F$2:$F$400,A18,'Master Tasks'!$J$2:$J$400,"In Review")</f>
        <v/>
      </c>
      <c r="F18" s="14">
        <f>COUNTIFS('Master Tasks'!$F$2:$F$400,A18,'Master Tasks'!$J$2:$J$400,"Blocked")</f>
        <v/>
      </c>
      <c r="G18" s="14">
        <f>COUNTIFS('Master Tasks'!$F$2:$F$400,A18,'Master Tasks'!$R$2:$R$400,"OVERDUE")</f>
        <v/>
      </c>
      <c r="H18" s="15">
        <f>IFERROR(D18/C18,0)</f>
        <v/>
      </c>
      <c r="I18" s="15">
        <f>IFERROR(SUMIF('Master Tasks'!$F$2:$F$400,A18,'Master Tasks'!$K$2:$K$400)/C18,0)</f>
        <v/>
      </c>
      <c r="J18" s="14">
        <f>COUNTIFS('Problems Log'!$H$2:$H$300,A18,'Problems Log'!$I$2:$I$300,"&lt;&gt;Resolved")+COUNTIF('2-Knowledge'!$F$6:$F$500,"Open")</f>
        <v/>
      </c>
      <c r="K18" s="14">
        <f>SUM('2-Knowledge'!$H$6:$H$500)</f>
        <v/>
      </c>
      <c r="L18" s="16">
        <f>IF(MAX('2-Knowledge'!$A$6:$A$500)=0,"No updates",MAX('2-Knowledge'!$A$6:$A$500))</f>
        <v/>
      </c>
      <c r="M18" s="14">
        <f>IF(ISNUMBER(L18),TODAY()-L18,"—")</f>
        <v/>
      </c>
    </row>
    <row r="19">
      <c r="A19" s="14" t="inlineStr">
        <is>
          <t>Agents &amp; Orchestration</t>
        </is>
      </c>
      <c r="B19" s="14">
        <f>INDEX(Team!$B$5:$B$10,3)</f>
        <v/>
      </c>
      <c r="C19" s="14">
        <f>COUNTIF('Master Tasks'!$F$2:$F$400,A19)</f>
        <v/>
      </c>
      <c r="D19" s="14">
        <f>COUNTIFS('Master Tasks'!$F$2:$F$400,A19,'Master Tasks'!$J$2:$J$400,"Done")</f>
        <v/>
      </c>
      <c r="E19" s="14">
        <f>COUNTIFS('Master Tasks'!$F$2:$F$400,A19,'Master Tasks'!$J$2:$J$400,"In Progress")+COUNTIFS('Master Tasks'!$F$2:$F$400,A19,'Master Tasks'!$J$2:$J$400,"In Review")</f>
        <v/>
      </c>
      <c r="F19" s="14">
        <f>COUNTIFS('Master Tasks'!$F$2:$F$400,A19,'Master Tasks'!$J$2:$J$400,"Blocked")</f>
        <v/>
      </c>
      <c r="G19" s="14">
        <f>COUNTIFS('Master Tasks'!$F$2:$F$400,A19,'Master Tasks'!$R$2:$R$400,"OVERDUE")</f>
        <v/>
      </c>
      <c r="H19" s="15">
        <f>IFERROR(D19/C19,0)</f>
        <v/>
      </c>
      <c r="I19" s="15">
        <f>IFERROR(SUMIF('Master Tasks'!$F$2:$F$400,A19,'Master Tasks'!$K$2:$K$400)/C19,0)</f>
        <v/>
      </c>
      <c r="J19" s="14">
        <f>COUNTIFS('Problems Log'!$H$2:$H$300,A19,'Problems Log'!$I$2:$I$300,"&lt;&gt;Resolved")+COUNTIF('3-Agents'!$F$6:$F$500,"Open")</f>
        <v/>
      </c>
      <c r="K19" s="14">
        <f>SUM('3-Agents'!$H$6:$H$500)</f>
        <v/>
      </c>
      <c r="L19" s="16">
        <f>IF(MAX('3-Agents'!$A$6:$A$500)=0,"No updates",MAX('3-Agents'!$A$6:$A$500))</f>
        <v/>
      </c>
      <c r="M19" s="14">
        <f>IF(ISNUMBER(L19),TODAY()-L19,"—")</f>
        <v/>
      </c>
    </row>
    <row r="20">
      <c r="A20" s="14" t="inlineStr">
        <is>
          <t>Tools &amp; Security</t>
        </is>
      </c>
      <c r="B20" s="14">
        <f>INDEX(Team!$B$5:$B$10,4)</f>
        <v/>
      </c>
      <c r="C20" s="14">
        <f>COUNTIF('Master Tasks'!$F$2:$F$400,A20)</f>
        <v/>
      </c>
      <c r="D20" s="14">
        <f>COUNTIFS('Master Tasks'!$F$2:$F$400,A20,'Master Tasks'!$J$2:$J$400,"Done")</f>
        <v/>
      </c>
      <c r="E20" s="14">
        <f>COUNTIFS('Master Tasks'!$F$2:$F$400,A20,'Master Tasks'!$J$2:$J$400,"In Progress")+COUNTIFS('Master Tasks'!$F$2:$F$400,A20,'Master Tasks'!$J$2:$J$400,"In Review")</f>
        <v/>
      </c>
      <c r="F20" s="14">
        <f>COUNTIFS('Master Tasks'!$F$2:$F$400,A20,'Master Tasks'!$J$2:$J$400,"Blocked")</f>
        <v/>
      </c>
      <c r="G20" s="14">
        <f>COUNTIFS('Master Tasks'!$F$2:$F$400,A20,'Master Tasks'!$R$2:$R$400,"OVERDUE")</f>
        <v/>
      </c>
      <c r="H20" s="15">
        <f>IFERROR(D20/C20,0)</f>
        <v/>
      </c>
      <c r="I20" s="15">
        <f>IFERROR(SUMIF('Master Tasks'!$F$2:$F$400,A20,'Master Tasks'!$K$2:$K$400)/C20,0)</f>
        <v/>
      </c>
      <c r="J20" s="14">
        <f>COUNTIFS('Problems Log'!$H$2:$H$300,A20,'Problems Log'!$I$2:$I$300,"&lt;&gt;Resolved")+COUNTIF('4-ToolsSec'!$F$6:$F$500,"Open")</f>
        <v/>
      </c>
      <c r="K20" s="14">
        <f>SUM('4-ToolsSec'!$H$6:$H$500)</f>
        <v/>
      </c>
      <c r="L20" s="16">
        <f>IF(MAX('4-ToolsSec'!$A$6:$A$500)=0,"No updates",MAX('4-ToolsSec'!$A$6:$A$500))</f>
        <v/>
      </c>
      <c r="M20" s="14">
        <f>IF(ISNUMBER(L20),TODAY()-L20,"—")</f>
        <v/>
      </c>
    </row>
    <row r="21">
      <c r="A21" s="14" t="inlineStr">
        <is>
          <t>Eval &amp; Red-Team</t>
        </is>
      </c>
      <c r="B21" s="14">
        <f>INDEX(Team!$B$5:$B$10,5)</f>
        <v/>
      </c>
      <c r="C21" s="14">
        <f>COUNTIF('Master Tasks'!$F$2:$F$400,A21)</f>
        <v/>
      </c>
      <c r="D21" s="14">
        <f>COUNTIFS('Master Tasks'!$F$2:$F$400,A21,'Master Tasks'!$J$2:$J$400,"Done")</f>
        <v/>
      </c>
      <c r="E21" s="14">
        <f>COUNTIFS('Master Tasks'!$F$2:$F$400,A21,'Master Tasks'!$J$2:$J$400,"In Progress")+COUNTIFS('Master Tasks'!$F$2:$F$400,A21,'Master Tasks'!$J$2:$J$400,"In Review")</f>
        <v/>
      </c>
      <c r="F21" s="14">
        <f>COUNTIFS('Master Tasks'!$F$2:$F$400,A21,'Master Tasks'!$J$2:$J$400,"Blocked")</f>
        <v/>
      </c>
      <c r="G21" s="14">
        <f>COUNTIFS('Master Tasks'!$F$2:$F$400,A21,'Master Tasks'!$R$2:$R$400,"OVERDUE")</f>
        <v/>
      </c>
      <c r="H21" s="15">
        <f>IFERROR(D21/C21,0)</f>
        <v/>
      </c>
      <c r="I21" s="15">
        <f>IFERROR(SUMIF('Master Tasks'!$F$2:$F$400,A21,'Master Tasks'!$K$2:$K$400)/C21,0)</f>
        <v/>
      </c>
      <c r="J21" s="14">
        <f>COUNTIFS('Problems Log'!$H$2:$H$300,A21,'Problems Log'!$I$2:$I$300,"&lt;&gt;Resolved")+COUNTIF('5-Eval'!$F$6:$F$500,"Open")</f>
        <v/>
      </c>
      <c r="K21" s="14">
        <f>SUM('5-Eval'!$H$6:$H$500)</f>
        <v/>
      </c>
      <c r="L21" s="16">
        <f>IF(MAX('5-Eval'!$A$6:$A$500)=0,"No updates",MAX('5-Eval'!$A$6:$A$500))</f>
        <v/>
      </c>
      <c r="M21" s="14">
        <f>IF(ISNUMBER(L21),TODAY()-L21,"—")</f>
        <v/>
      </c>
    </row>
    <row r="22">
      <c r="A22" s="14" t="inlineStr">
        <is>
          <t>Deploy &amp; Ops</t>
        </is>
      </c>
      <c r="B22" s="14">
        <f>INDEX(Team!$B$5:$B$10,6)</f>
        <v/>
      </c>
      <c r="C22" s="14">
        <f>COUNTIF('Master Tasks'!$F$2:$F$400,A22)</f>
        <v/>
      </c>
      <c r="D22" s="14">
        <f>COUNTIFS('Master Tasks'!$F$2:$F$400,A22,'Master Tasks'!$J$2:$J$400,"Done")</f>
        <v/>
      </c>
      <c r="E22" s="14">
        <f>COUNTIFS('Master Tasks'!$F$2:$F$400,A22,'Master Tasks'!$J$2:$J$400,"In Progress")+COUNTIFS('Master Tasks'!$F$2:$F$400,A22,'Master Tasks'!$J$2:$J$400,"In Review")</f>
        <v/>
      </c>
      <c r="F22" s="14">
        <f>COUNTIFS('Master Tasks'!$F$2:$F$400,A22,'Master Tasks'!$J$2:$J$400,"Blocked")</f>
        <v/>
      </c>
      <c r="G22" s="14">
        <f>COUNTIFS('Master Tasks'!$F$2:$F$400,A22,'Master Tasks'!$R$2:$R$400,"OVERDUE")</f>
        <v/>
      </c>
      <c r="H22" s="15">
        <f>IFERROR(D22/C22,0)</f>
        <v/>
      </c>
      <c r="I22" s="15">
        <f>IFERROR(SUMIF('Master Tasks'!$F$2:$F$400,A22,'Master Tasks'!$K$2:$K$400)/C22,0)</f>
        <v/>
      </c>
      <c r="J22" s="14">
        <f>COUNTIFS('Problems Log'!$H$2:$H$300,A22,'Problems Log'!$I$2:$I$300,"&lt;&gt;Resolved")+COUNTIF('6-DevOps'!$F$6:$F$500,"Open")</f>
        <v/>
      </c>
      <c r="K22" s="14">
        <f>SUM('6-DevOps'!$H$6:$H$500)</f>
        <v/>
      </c>
      <c r="L22" s="16">
        <f>IF(MAX('6-DevOps'!$A$6:$A$500)=0,"No updates",MAX('6-DevOps'!$A$6:$A$500))</f>
        <v/>
      </c>
      <c r="M22" s="14">
        <f>IF(ISNUMBER(L22),TODAY()-L22,"—")</f>
        <v/>
      </c>
    </row>
    <row r="23">
      <c r="A23" s="14" t="inlineStr">
        <is>
          <t>All (team tasks)</t>
        </is>
      </c>
      <c r="B23" s="14" t="inlineStr">
        <is>
          <t>Whole team</t>
        </is>
      </c>
      <c r="C23" s="14">
        <f>COUNTIF('Master Tasks'!$F$2:$F$400,"All")</f>
        <v/>
      </c>
      <c r="D23" s="14">
        <f>COUNTIFS('Master Tasks'!$F$2:$F$400,"All",'Master Tasks'!$J$2:$J$400,"Done")</f>
        <v/>
      </c>
      <c r="E23" s="14">
        <f>COUNTIFS('Master Tasks'!$F$2:$F$400,"All",'Master Tasks'!$J$2:$J$400,"In Progress")+COUNTIFS('Master Tasks'!$F$2:$F$400,"All",'Master Tasks'!$J$2:$J$400,"In Review")</f>
        <v/>
      </c>
      <c r="F23" s="14">
        <f>COUNTIFS('Master Tasks'!$F$2:$F$400,"All",'Master Tasks'!$J$2:$J$400,"Blocked")</f>
        <v/>
      </c>
      <c r="G23" s="14">
        <f>COUNTIFS('Master Tasks'!$F$2:$F$400,"All",'Master Tasks'!$R$2:$R$400,"OVERDUE")</f>
        <v/>
      </c>
      <c r="H23" s="15">
        <f>IFERROR(D23/C23,0)</f>
        <v/>
      </c>
      <c r="I23" s="15">
        <f>IFERROR(SUMIF('Master Tasks'!$F$2:$F$400,"All",'Master Tasks'!$K$2:$K$400)/C23,0)</f>
        <v/>
      </c>
      <c r="J23" s="14" t="n"/>
      <c r="K23" s="14" t="n"/>
      <c r="L23" s="14" t="n"/>
      <c r="M23" s="14" t="n"/>
    </row>
    <row r="25">
      <c r="A25" s="12" t="inlineStr">
        <is>
          <t>PROGRESS BY PHASE</t>
        </is>
      </c>
    </row>
    <row r="26">
      <c r="A26" s="13" t="inlineStr">
        <is>
          <t>Phase</t>
        </is>
      </c>
      <c r="B26" s="13" t="inlineStr">
        <is>
          <t>Start</t>
        </is>
      </c>
      <c r="C26" s="13" t="inlineStr">
        <is>
          <t>End</t>
        </is>
      </c>
      <c r="D26" s="13" t="inlineStr">
        <is>
          <t>Tasks</t>
        </is>
      </c>
      <c r="E26" s="13" t="inlineStr">
        <is>
          <t>Done</t>
        </is>
      </c>
      <c r="F26" s="13" t="inlineStr">
        <is>
          <t>% Done</t>
        </is>
      </c>
      <c r="G26" s="13" t="inlineStr">
        <is>
          <t>Phase Status</t>
        </is>
      </c>
    </row>
    <row r="27">
      <c r="A27" s="14" t="inlineStr">
        <is>
          <t>P0 Setup &amp; Planning</t>
        </is>
      </c>
      <c r="B27" s="17" t="n">
        <v>46321</v>
      </c>
      <c r="C27" s="17" t="n">
        <v>46325</v>
      </c>
      <c r="D27" s="14">
        <f>COUNTIF('Master Tasks'!$B$2:$B$400,A27)</f>
        <v/>
      </c>
      <c r="E27" s="14">
        <f>COUNTIFS('Master Tasks'!$B$2:$B$400,A27,'Master Tasks'!$J$2:$J$400,"Done")</f>
        <v/>
      </c>
      <c r="F27" s="15">
        <f>IFERROR(E27/D27,0)</f>
        <v/>
      </c>
      <c r="G27" s="14">
        <f>IF(D27=0,"—",IF(E27=D27,"Complete",IF(TODAY()&lt;B27,"Upcoming",IF(TODAY()&gt;C27,"Behind","Active"))))</f>
        <v/>
      </c>
    </row>
    <row r="28">
      <c r="A28" s="14" t="inlineStr">
        <is>
          <t>P1 Foundations</t>
        </is>
      </c>
      <c r="B28" s="17" t="n">
        <v>46328</v>
      </c>
      <c r="C28" s="17" t="n">
        <v>46339</v>
      </c>
      <c r="D28" s="14">
        <f>COUNTIF('Master Tasks'!$B$2:$B$400,A28)</f>
        <v/>
      </c>
      <c r="E28" s="14">
        <f>COUNTIFS('Master Tasks'!$B$2:$B$400,A28,'Master Tasks'!$J$2:$J$400,"Done")</f>
        <v/>
      </c>
      <c r="F28" s="15">
        <f>IFERROR(E28/D28,0)</f>
        <v/>
      </c>
      <c r="G28" s="14">
        <f>IF(D28=0,"—",IF(E28=D28,"Complete",IF(TODAY()&lt;B28,"Upcoming",IF(TODAY()&gt;C28,"Behind","Active"))))</f>
        <v/>
      </c>
    </row>
    <row r="29">
      <c r="A29" s="14" t="inlineStr">
        <is>
          <t>P2 Minimum Bar End-to-End</t>
        </is>
      </c>
      <c r="B29" s="17" t="n">
        <v>46342</v>
      </c>
      <c r="C29" s="17" t="n">
        <v>46353</v>
      </c>
      <c r="D29" s="14">
        <f>COUNTIF('Master Tasks'!$B$2:$B$400,A29)</f>
        <v/>
      </c>
      <c r="E29" s="14">
        <f>COUNTIFS('Master Tasks'!$B$2:$B$400,A29,'Master Tasks'!$J$2:$J$400,"Done")</f>
        <v/>
      </c>
      <c r="F29" s="15">
        <f>IFERROR(E29/D29,0)</f>
        <v/>
      </c>
      <c r="G29" s="14">
        <f>IF(D29=0,"—",IF(E29=D29,"Complete",IF(TODAY()&lt;B29,"Upcoming",IF(TODAY()&gt;C29,"Behind","Active"))))</f>
        <v/>
      </c>
    </row>
    <row r="30">
      <c r="A30" s="14" t="inlineStr">
        <is>
          <t>P3 Signature Challenges + Eval</t>
        </is>
      </c>
      <c r="B30" s="17" t="n">
        <v>46356</v>
      </c>
      <c r="C30" s="17" t="n">
        <v>46367</v>
      </c>
      <c r="D30" s="14">
        <f>COUNTIF('Master Tasks'!$B$2:$B$400,A30)</f>
        <v/>
      </c>
      <c r="E30" s="14">
        <f>COUNTIFS('Master Tasks'!$B$2:$B$400,A30,'Master Tasks'!$J$2:$J$400,"Done")</f>
        <v/>
      </c>
      <c r="F30" s="15">
        <f>IFERROR(E30/D30,0)</f>
        <v/>
      </c>
      <c r="G30" s="14">
        <f>IF(D30=0,"—",IF(E30=D30,"Complete",IF(TODAY()&lt;B30,"Upcoming",IF(TODAY()&gt;C30,"Behind","Active"))))</f>
        <v/>
      </c>
    </row>
    <row r="31">
      <c r="A31" s="14" t="inlineStr">
        <is>
          <t>P4 Experiments &amp; Report</t>
        </is>
      </c>
      <c r="B31" s="17" t="n">
        <v>46370</v>
      </c>
      <c r="C31" s="17" t="n">
        <v>46374</v>
      </c>
      <c r="D31" s="14">
        <f>COUNTIF('Master Tasks'!$B$2:$B$400,A31)</f>
        <v/>
      </c>
      <c r="E31" s="14">
        <f>COUNTIFS('Master Tasks'!$B$2:$B$400,A31,'Master Tasks'!$J$2:$J$400,"Done")</f>
        <v/>
      </c>
      <c r="F31" s="15">
        <f>IFERROR(E31/D31,0)</f>
        <v/>
      </c>
      <c r="G31" s="14">
        <f>IF(D31=0,"—",IF(E31=D31,"Complete",IF(TODAY()&lt;B31,"Upcoming",IF(TODAY()&gt;C31,"Behind","Active"))))</f>
        <v/>
      </c>
    </row>
    <row r="32">
      <c r="A32" s="14" t="inlineStr">
        <is>
          <t>P5 Demo &amp; Submission</t>
        </is>
      </c>
      <c r="B32" s="17" t="n">
        <v>46377</v>
      </c>
      <c r="C32" s="17" t="n">
        <v>46380</v>
      </c>
      <c r="D32" s="14">
        <f>COUNTIF('Master Tasks'!$B$2:$B$400,A32)</f>
        <v/>
      </c>
      <c r="E32" s="14">
        <f>COUNTIFS('Master Tasks'!$B$2:$B$400,A32,'Master Tasks'!$J$2:$J$400,"Done")</f>
        <v/>
      </c>
      <c r="F32" s="15">
        <f>IFERROR(E32/D32,0)</f>
        <v/>
      </c>
      <c r="G32" s="14">
        <f>IF(D32=0,"—",IF(E32=D32,"Complete",IF(TODAY()&lt;B32,"Upcoming",IF(TODAY()&gt;C32,"Behind","Active"))))</f>
        <v/>
      </c>
    </row>
    <row r="35">
      <c r="A35" s="12" t="inlineStr">
        <is>
          <t>MINIMUM-BAR COVERAGE BY LECTURE LAYER</t>
        </is>
      </c>
    </row>
    <row r="36">
      <c r="A36" s="13" t="inlineStr">
        <is>
          <t>Layer</t>
        </is>
      </c>
      <c r="B36" s="13" t="inlineStr">
        <is>
          <t>Tasks</t>
        </is>
      </c>
      <c r="C36" s="13" t="inlineStr">
        <is>
          <t>Done</t>
        </is>
      </c>
      <c r="D36" s="13" t="inlineStr">
        <is>
          <t>% Done</t>
        </is>
      </c>
      <c r="E36" s="13" t="inlineStr">
        <is>
          <t>Blocked</t>
        </is>
      </c>
    </row>
    <row r="37">
      <c r="A37" s="14" t="inlineStr">
        <is>
          <t>Project Mgmt</t>
        </is>
      </c>
      <c r="B37" s="14">
        <f>COUNTIF('Master Tasks'!$C$2:$C$400,A37)</f>
        <v/>
      </c>
      <c r="C37" s="14">
        <f>COUNTIFS('Master Tasks'!$C$2:$C$400,A37,'Master Tasks'!$J$2:$J$400,"Done")</f>
        <v/>
      </c>
      <c r="D37" s="15">
        <f>IFERROR(C37/B37,0)</f>
        <v/>
      </c>
      <c r="E37" s="14">
        <f>COUNTIFS('Master Tasks'!$C$2:$C$400,A37,'Master Tasks'!$J$2:$J$400,"Blocked")</f>
        <v/>
      </c>
    </row>
    <row r="38">
      <c r="A38" s="14" t="inlineStr">
        <is>
          <t>Domain/Product</t>
        </is>
      </c>
      <c r="B38" s="14">
        <f>COUNTIF('Master Tasks'!$C$2:$C$400,A38)</f>
        <v/>
      </c>
      <c r="C38" s="14">
        <f>COUNTIFS('Master Tasks'!$C$2:$C$400,A38,'Master Tasks'!$J$2:$J$400,"Done")</f>
        <v/>
      </c>
      <c r="D38" s="15">
        <f>IFERROR(C38/B38,0)</f>
        <v/>
      </c>
      <c r="E38" s="14">
        <f>COUNTIFS('Master Tasks'!$C$2:$C$400,A38,'Master Tasks'!$J$2:$J$400,"Blocked")</f>
        <v/>
      </c>
    </row>
    <row r="39">
      <c r="A39" s="14" t="inlineStr">
        <is>
          <t>L4–L6 Retrieval</t>
        </is>
      </c>
      <c r="B39" s="14">
        <f>COUNTIF('Master Tasks'!$C$2:$C$400,A39)</f>
        <v/>
      </c>
      <c r="C39" s="14">
        <f>COUNTIFS('Master Tasks'!$C$2:$C$400,A39,'Master Tasks'!$J$2:$J$400,"Done")</f>
        <v/>
      </c>
      <c r="D39" s="15">
        <f>IFERROR(C39/B39,0)</f>
        <v/>
      </c>
      <c r="E39" s="14">
        <f>COUNTIFS('Master Tasks'!$C$2:$C$400,A39,'Master Tasks'!$J$2:$J$400,"Blocked")</f>
        <v/>
      </c>
    </row>
    <row r="40">
      <c r="A40" s="14" t="inlineStr">
        <is>
          <t>L7 Tools/MCP</t>
        </is>
      </c>
      <c r="B40" s="14">
        <f>COUNTIF('Master Tasks'!$C$2:$C$400,A40)</f>
        <v/>
      </c>
      <c r="C40" s="14">
        <f>COUNTIFS('Master Tasks'!$C$2:$C$400,A40,'Master Tasks'!$J$2:$J$400,"Done")</f>
        <v/>
      </c>
      <c r="D40" s="15">
        <f>IFERROR(C40/B40,0)</f>
        <v/>
      </c>
      <c r="E40" s="14">
        <f>COUNTIFS('Master Tasks'!$C$2:$C$400,A40,'Master Tasks'!$J$2:$J$400,"Blocked")</f>
        <v/>
      </c>
    </row>
    <row r="41">
      <c r="A41" s="14" t="inlineStr">
        <is>
          <t>L8 Orchestration</t>
        </is>
      </c>
      <c r="B41" s="14">
        <f>COUNTIF('Master Tasks'!$C$2:$C$400,A41)</f>
        <v/>
      </c>
      <c r="C41" s="14">
        <f>COUNTIFS('Master Tasks'!$C$2:$C$400,A41,'Master Tasks'!$J$2:$J$400,"Done")</f>
        <v/>
      </c>
      <c r="D41" s="15">
        <f>IFERROR(C41/B41,0)</f>
        <v/>
      </c>
      <c r="E41" s="14">
        <f>COUNTIFS('Master Tasks'!$C$2:$C$400,A41,'Master Tasks'!$J$2:$J$400,"Blocked")</f>
        <v/>
      </c>
    </row>
    <row r="42">
      <c r="A42" s="14" t="inlineStr">
        <is>
          <t>L9 Memory</t>
        </is>
      </c>
      <c r="B42" s="14">
        <f>COUNTIF('Master Tasks'!$C$2:$C$400,A42)</f>
        <v/>
      </c>
      <c r="C42" s="14">
        <f>COUNTIFS('Master Tasks'!$C$2:$C$400,A42,'Master Tasks'!$J$2:$J$400,"Done")</f>
        <v/>
      </c>
      <c r="D42" s="15">
        <f>IFERROR(C42/B42,0)</f>
        <v/>
      </c>
      <c r="E42" s="14">
        <f>COUNTIFS('Master Tasks'!$C$2:$C$400,A42,'Master Tasks'!$J$2:$J$400,"Blocked")</f>
        <v/>
      </c>
    </row>
    <row r="43">
      <c r="A43" s="14" t="inlineStr">
        <is>
          <t>L10 Planning</t>
        </is>
      </c>
      <c r="B43" s="14">
        <f>COUNTIF('Master Tasks'!$C$2:$C$400,A43)</f>
        <v/>
      </c>
      <c r="C43" s="14">
        <f>COUNTIFS('Master Tasks'!$C$2:$C$400,A43,'Master Tasks'!$J$2:$J$400,"Done")</f>
        <v/>
      </c>
      <c r="D43" s="15">
        <f>IFERROR(C43/B43,0)</f>
        <v/>
      </c>
      <c r="E43" s="14">
        <f>COUNTIFS('Master Tasks'!$C$2:$C$400,A43,'Master Tasks'!$J$2:$J$400,"Blocked")</f>
        <v/>
      </c>
    </row>
    <row r="44">
      <c r="A44" s="14" t="inlineStr">
        <is>
          <t>L11 Multi-agent</t>
        </is>
      </c>
      <c r="B44" s="14">
        <f>COUNTIF('Master Tasks'!$C$2:$C$400,A44)</f>
        <v/>
      </c>
      <c r="C44" s="14">
        <f>COUNTIFS('Master Tasks'!$C$2:$C$400,A44,'Master Tasks'!$J$2:$J$400,"Done")</f>
        <v/>
      </c>
      <c r="D44" s="15">
        <f>IFERROR(C44/B44,0)</f>
        <v/>
      </c>
      <c r="E44" s="14">
        <f>COUNTIFS('Master Tasks'!$C$2:$C$400,A44,'Master Tasks'!$J$2:$J$400,"Blocked")</f>
        <v/>
      </c>
    </row>
    <row r="45">
      <c r="A45" s="14" t="inlineStr">
        <is>
          <t>L12 Improvement</t>
        </is>
      </c>
      <c r="B45" s="14">
        <f>COUNTIF('Master Tasks'!$C$2:$C$400,A45)</f>
        <v/>
      </c>
      <c r="C45" s="14">
        <f>COUNTIFS('Master Tasks'!$C$2:$C$400,A45,'Master Tasks'!$J$2:$J$400,"Done")</f>
        <v/>
      </c>
      <c r="D45" s="15">
        <f>IFERROR(C45/B45,0)</f>
        <v/>
      </c>
      <c r="E45" s="14">
        <f>COUNTIFS('Master Tasks'!$C$2:$C$400,A45,'Master Tasks'!$J$2:$J$400,"Blocked")</f>
        <v/>
      </c>
    </row>
    <row r="46">
      <c r="A46" s="14" t="inlineStr">
        <is>
          <t>L13 Evaluation</t>
        </is>
      </c>
      <c r="B46" s="14">
        <f>COUNTIF('Master Tasks'!$C$2:$C$400,A46)</f>
        <v/>
      </c>
      <c r="C46" s="14">
        <f>COUNTIFS('Master Tasks'!$C$2:$C$400,A46,'Master Tasks'!$J$2:$J$400,"Done")</f>
        <v/>
      </c>
      <c r="D46" s="15">
        <f>IFERROR(C46/B46,0)</f>
        <v/>
      </c>
      <c r="E46" s="14">
        <f>COUNTIFS('Master Tasks'!$C$2:$C$400,A46,'Master Tasks'!$J$2:$J$400,"Blocked")</f>
        <v/>
      </c>
    </row>
    <row r="47">
      <c r="A47" s="14" t="inlineStr">
        <is>
          <t>L14 Human control</t>
        </is>
      </c>
      <c r="B47" s="14">
        <f>COUNTIF('Master Tasks'!$C$2:$C$400,A47)</f>
        <v/>
      </c>
      <c r="C47" s="14">
        <f>COUNTIFS('Master Tasks'!$C$2:$C$400,A47,'Master Tasks'!$J$2:$J$400,"Done")</f>
        <v/>
      </c>
      <c r="D47" s="15">
        <f>IFERROR(C47/B47,0)</f>
        <v/>
      </c>
      <c r="E47" s="14">
        <f>COUNTIFS('Master Tasks'!$C$2:$C$400,A47,'Master Tasks'!$J$2:$J$400,"Blocked")</f>
        <v/>
      </c>
    </row>
    <row r="48">
      <c r="A48" s="14" t="inlineStr">
        <is>
          <t>L15 Security</t>
        </is>
      </c>
      <c r="B48" s="14">
        <f>COUNTIF('Master Tasks'!$C$2:$C$400,A48)</f>
        <v/>
      </c>
      <c r="C48" s="14">
        <f>COUNTIFS('Master Tasks'!$C$2:$C$400,A48,'Master Tasks'!$J$2:$J$400,"Done")</f>
        <v/>
      </c>
      <c r="D48" s="15">
        <f>IFERROR(C48/B48,0)</f>
        <v/>
      </c>
      <c r="E48" s="14">
        <f>COUNTIFS('Master Tasks'!$C$2:$C$400,A48,'Master Tasks'!$J$2:$J$400,"Blocked")</f>
        <v/>
      </c>
    </row>
    <row r="49">
      <c r="A49" s="14" t="inlineStr">
        <is>
          <t>L16 Deployment</t>
        </is>
      </c>
      <c r="B49" s="14">
        <f>COUNTIF('Master Tasks'!$C$2:$C$400,A49)</f>
        <v/>
      </c>
      <c r="C49" s="14">
        <f>COUNTIFS('Master Tasks'!$C$2:$C$400,A49,'Master Tasks'!$J$2:$J$400,"Done")</f>
        <v/>
      </c>
      <c r="D49" s="15">
        <f>IFERROR(C49/B49,0)</f>
        <v/>
      </c>
      <c r="E49" s="14">
        <f>COUNTIFS('Master Tasks'!$C$2:$C$400,A49,'Master Tasks'!$J$2:$J$400,"Blocked")</f>
        <v/>
      </c>
    </row>
  </sheetData>
  <conditionalFormatting sqref="H17:H23">
    <cfRule type="dataBar" priority="1">
      <dataBar>
        <cfvo type="num" val="0"/>
        <cfvo type="num" val="1"/>
        <color rgb="005B9BD5"/>
      </dataBar>
    </cfRule>
  </conditionalFormatting>
  <conditionalFormatting sqref="M17:M22">
    <cfRule type="expression" priority="2" dxfId="0">
      <formula>AND(ISNUMBER(M17),M17&gt;1)</formula>
    </cfRule>
  </conditionalFormatting>
  <conditionalFormatting sqref="L17:L22">
    <cfRule type="cellIs" priority="3" operator="equal" dxfId="1">
      <formula>"No updates"</formula>
    </cfRule>
  </conditionalFormatting>
  <conditionalFormatting sqref="F17:G23">
    <cfRule type="cellIs" priority="4" operator="greaterThan" dxfId="0">
      <formula>0</formula>
    </cfRule>
  </conditionalFormatting>
  <conditionalFormatting sqref="F27:F32">
    <cfRule type="dataBar" priority="5">
      <dataBar>
        <cfvo type="num" val="0"/>
        <cfvo type="num" val="1"/>
        <color rgb="0070AD47"/>
      </dataBar>
    </cfRule>
  </conditionalFormatting>
  <conditionalFormatting sqref="G27:G32">
    <cfRule type="cellIs" priority="6" operator="equal" dxfId="0">
      <formula>"Behind"</formula>
    </cfRule>
    <cfRule type="cellIs" priority="7" operator="equal" dxfId="2">
      <formula>"Active"</formula>
    </cfRule>
    <cfRule type="cellIs" priority="8" operator="equal" dxfId="3">
      <formula>"Complete"</formula>
    </cfRule>
  </conditionalFormatting>
  <conditionalFormatting sqref="D37:D49">
    <cfRule type="dataBar" priority="9">
      <dataBar>
        <cfvo type="num" val="0"/>
        <cfvo type="num" val="1"/>
        <color rgb="00ED7D31"/>
      </dataBar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2" customWidth="1" min="4" max="4"/>
    <col width="70" customWidth="1" min="5" max="5"/>
    <col width="12" customWidth="1" min="6" max="6"/>
  </cols>
  <sheetData>
    <row r="1">
      <c r="A1" s="1" t="inlineStr">
        <is>
          <t>ClaimSense — High-Level Analysis</t>
        </is>
      </c>
    </row>
    <row r="2">
      <c r="A2" s="2" t="inlineStr">
        <is>
          <t>Built from the capstone guide (16 Oct 2026) and the team Discord playbook (25 Oct 2026).</t>
        </is>
      </c>
    </row>
    <row r="4">
      <c r="A4" s="18" t="inlineStr">
        <is>
          <t>1. PROJECT IN BRIEF</t>
        </is>
      </c>
      <c r="B4" s="19" t="n"/>
      <c r="C4" s="19" t="n"/>
      <c r="D4" s="19" t="n"/>
      <c r="E4" s="19" t="n"/>
      <c r="F4" s="19" t="n"/>
    </row>
    <row r="5" ht="30" customHeight="1">
      <c r="A5" s="20" t="inlineStr">
        <is>
          <t>Goal</t>
        </is>
      </c>
      <c r="B5" s="6" t="inlineStr">
        <is>
          <t>Read a hospitalisation claim, check every bill line against the Arogya Sanjeevani policy wording, compute rupee amounts in code, and prepare a settlement for a claims adjudicator to approve.</t>
        </is>
      </c>
    </row>
    <row r="6" ht="15" customHeight="1">
      <c r="A6" s="20" t="inlineStr">
        <is>
          <t>User</t>
        </is>
      </c>
      <c r="B6" s="6" t="inlineStr">
        <is>
          <t>Claims adjudicator at an insurer or TPA. Today the work is slow, inconsistent, and padded bills are common.</t>
        </is>
      </c>
    </row>
    <row r="7" ht="30" customHeight="1">
      <c r="A7" s="20" t="inlineStr">
        <is>
          <t>Signature A</t>
        </is>
      </c>
      <c r="B7" s="6" t="inlineStr">
        <is>
          <t>Money you can audit — every rupee from unit-tested code, every deduction cites a clause; proportional cut after a room-rent breach done correctly. Owners: Tools &amp; Security (calculator), Agents (coverage analyst).</t>
        </is>
      </c>
    </row>
    <row r="8" ht="30" customHeight="1">
      <c r="A8" s="20" t="inlineStr">
        <is>
          <t>Signature B</t>
        </is>
      </c>
      <c r="B8" s="6" t="inlineStr">
        <is>
          <t>Playbook that learns from adjudicator edits — Reflexion loop on dev claims, human-approved lessons, frozen before held-out run. Owners: Agents (loop), Knowledge (lesson store), Eval (E3).</t>
        </is>
      </c>
    </row>
    <row r="9" ht="30" customHeight="1">
      <c r="A9" s="20" t="inlineStr">
        <is>
          <t>Marks</t>
        </is>
      </c>
      <c r="B9" s="6" t="inlineStr">
        <is>
          <t>Roughly equal: scope &amp; impact · technical depth · presentation · individual viva. Every member must redraw the architecture from memory.</t>
        </is>
      </c>
    </row>
    <row r="10" ht="30" customHeight="1">
      <c r="A10" s="20" t="inlineStr">
        <is>
          <t>Demo (3 scenes)</t>
        </is>
      </c>
      <c r="B10" s="6" t="inlineStr">
        <is>
          <t>(1) Room-rent proportional cut explained line by line. (2) Injected 'pre-approved' note ignored + duplicate bill caught. (3) Edit one line → totals recalc → old approval invalid.</t>
        </is>
      </c>
    </row>
    <row r="12">
      <c r="A12" s="18" t="inlineStr">
        <is>
          <t>2. WORKLOAD BALANCE (live from Master Tasks)</t>
        </is>
      </c>
      <c r="B12" s="19" t="n"/>
      <c r="C12" s="19" t="n"/>
      <c r="D12" s="19" t="n"/>
      <c r="E12" s="19" t="n"/>
      <c r="F12" s="19" t="n"/>
    </row>
    <row r="13">
      <c r="A13" s="13" t="inlineStr">
        <is>
          <t>Role</t>
        </is>
      </c>
      <c r="B13" s="13" t="inlineStr">
        <is>
          <t>Tasks</t>
        </is>
      </c>
      <c r="C13" s="13" t="inlineStr">
        <is>
          <t>Critical</t>
        </is>
      </c>
      <c r="D13" s="13" t="inlineStr">
        <is>
          <t>High</t>
        </is>
      </c>
      <c r="E13" s="13" t="inlineStr">
        <is>
          <t>Share of All Tasks</t>
        </is>
      </c>
      <c r="F13" s="13" t="inlineStr">
        <is>
          <t>Comment</t>
        </is>
      </c>
    </row>
    <row r="14">
      <c r="A14" s="14" t="inlineStr">
        <is>
          <t>Domain &amp; Product Lead</t>
        </is>
      </c>
      <c r="B14" s="14">
        <f>COUNTIF('Master Tasks'!$F$2:$F$400,A14)</f>
        <v/>
      </c>
      <c r="C14" s="14">
        <f>COUNTIFS('Master Tasks'!$F$2:$F$400,A14,'Master Tasks'!$L$2:$L$400,"Critical")</f>
        <v/>
      </c>
      <c r="D14" s="14">
        <f>COUNTIFS('Master Tasks'!$F$2:$F$400,A14,'Master Tasks'!$L$2:$L$400,"High")</f>
        <v/>
      </c>
      <c r="E14" s="15">
        <f>IFERROR(B14/SUM($B$14:$B$20),0)</f>
        <v/>
      </c>
      <c r="F14" s="14" t="inlineStr">
        <is>
          <t>Light on code — owns domain content: wording, tariff, synthetic claims, demo, slides.</t>
        </is>
      </c>
    </row>
    <row r="15">
      <c r="A15" s="14" t="inlineStr">
        <is>
          <t>Knowledge &amp; Memory</t>
        </is>
      </c>
      <c r="B15" s="14">
        <f>COUNTIF('Master Tasks'!$F$2:$F$400,A15)</f>
        <v/>
      </c>
      <c r="C15" s="14">
        <f>COUNTIFS('Master Tasks'!$F$2:$F$400,A15,'Master Tasks'!$L$2:$L$400,"Critical")</f>
        <v/>
      </c>
      <c r="D15" s="14">
        <f>COUNTIFS('Master Tasks'!$F$2:$F$400,A15,'Master Tasks'!$L$2:$L$400,"High")</f>
        <v/>
      </c>
      <c r="E15" s="15">
        <f>IFERROR(B15/SUM($B$14:$B$20),0)</f>
        <v/>
      </c>
      <c r="F15" s="14" t="inlineStr">
        <is>
          <t>Front-loaded: retrieval must be ready by mid-Nov for agents.</t>
        </is>
      </c>
    </row>
    <row r="16">
      <c r="A16" s="14" t="inlineStr">
        <is>
          <t>Agents &amp; Orchestration</t>
        </is>
      </c>
      <c r="B16" s="14">
        <f>COUNTIF('Master Tasks'!$F$2:$F$400,A16)</f>
        <v/>
      </c>
      <c r="C16" s="14">
        <f>COUNTIFS('Master Tasks'!$F$2:$F$400,A16,'Master Tasks'!$L$2:$L$400,"Critical")</f>
        <v/>
      </c>
      <c r="D16" s="14">
        <f>COUNTIFS('Master Tasks'!$F$2:$F$400,A16,'Master Tasks'!$L$2:$L$400,"High")</f>
        <v/>
      </c>
      <c r="E16" s="15">
        <f>IFERROR(B16/SUM($B$14:$B$20),0)</f>
        <v/>
      </c>
      <c r="F16" s="14" t="inlineStr">
        <is>
          <t>Heaviest build load and on the critical path; backup should review every PR.</t>
        </is>
      </c>
    </row>
    <row r="17">
      <c r="A17" s="14" t="inlineStr">
        <is>
          <t>Tools &amp; Security</t>
        </is>
      </c>
      <c r="B17" s="14">
        <f>COUNTIF('Master Tasks'!$F$2:$F$400,A17)</f>
        <v/>
      </c>
      <c r="C17" s="14">
        <f>COUNTIFS('Master Tasks'!$F$2:$F$400,A17,'Master Tasks'!$L$2:$L$400,"Critical")</f>
        <v/>
      </c>
      <c r="D17" s="14">
        <f>COUNTIFS('Master Tasks'!$F$2:$F$400,A17,'Master Tasks'!$L$2:$L$400,"High")</f>
        <v/>
      </c>
      <c r="E17" s="15">
        <f>IFERROR(B17/SUM($B$14:$B$20),0)</f>
        <v/>
      </c>
      <c r="F17" s="14" t="inlineStr">
        <is>
          <t>Calculator (Signature A) is the single most important piece of code — start Week 2.</t>
        </is>
      </c>
    </row>
    <row r="18">
      <c r="A18" s="14" t="inlineStr">
        <is>
          <t>Eval &amp; Red-Team</t>
        </is>
      </c>
      <c r="B18" s="14">
        <f>COUNTIF('Master Tasks'!$F$2:$F$400,A18)</f>
        <v/>
      </c>
      <c r="C18" s="14">
        <f>COUNTIFS('Master Tasks'!$F$2:$F$400,A18,'Master Tasks'!$L$2:$L$400,"Critical")</f>
        <v/>
      </c>
      <c r="D18" s="14">
        <f>COUNTIFS('Master Tasks'!$F$2:$F$400,A18,'Master Tasks'!$L$2:$L$400,"High")</f>
        <v/>
      </c>
      <c r="E18" s="15">
        <f>IFERROR(B18/SUM($B$14:$B$20),0)</f>
        <v/>
      </c>
      <c r="F18" s="14" t="inlineStr">
        <is>
          <t>Heaviest in Weeks 6–8 (80 hand worksheets + E1–E4 + report). Start the golden set early.</t>
        </is>
      </c>
    </row>
    <row r="19">
      <c r="A19" s="14" t="inlineStr">
        <is>
          <t>Deploy &amp; Ops</t>
        </is>
      </c>
      <c r="B19" s="14">
        <f>COUNTIF('Master Tasks'!$F$2:$F$400,A19)</f>
        <v/>
      </c>
      <c r="C19" s="14">
        <f>COUNTIFS('Master Tasks'!$F$2:$F$400,A19,'Master Tasks'!$L$2:$L$400,"Critical")</f>
        <v/>
      </c>
      <c r="D19" s="14">
        <f>COUNTIFS('Master Tasks'!$F$2:$F$400,A19,'Master Tasks'!$L$2:$L$400,"High")</f>
        <v/>
      </c>
      <c r="E19" s="15">
        <f>IFERROR(B19/SUM($B$14:$B$20),0)</f>
        <v/>
      </c>
      <c r="F19" s="14" t="inlineStr">
        <is>
          <t>Steady load; Docker + tracing early unblocks everyone.</t>
        </is>
      </c>
    </row>
    <row r="20">
      <c r="A20" s="14" t="inlineStr">
        <is>
          <t>All</t>
        </is>
      </c>
      <c r="B20" s="14">
        <f>COUNTIF('Master Tasks'!$F$2:$F$400,A20)</f>
        <v/>
      </c>
      <c r="C20" s="14">
        <f>COUNTIFS('Master Tasks'!$F$2:$F$400,A20,'Master Tasks'!$L$2:$L$400,"Critical")</f>
        <v/>
      </c>
      <c r="D20" s="14">
        <f>COUNTIFS('Master Tasks'!$F$2:$F$400,A20,'Master Tasks'!$L$2:$L$400,"High")</f>
        <v/>
      </c>
      <c r="E20" s="15">
        <f>IFERROR(B20/SUM($B$14:$B$20),0)</f>
        <v/>
      </c>
      <c r="F20" s="14" t="inlineStr">
        <is>
          <t>Shared tasks: setup, E2E run, contribution review, viva prep.</t>
        </is>
      </c>
    </row>
    <row r="22">
      <c r="A22" s="18" t="inlineStr">
        <is>
          <t>3. CRITICAL PATH (if any of these slip, the demo slips)</t>
        </is>
      </c>
      <c r="B22" s="19" t="n"/>
      <c r="C22" s="19" t="n"/>
      <c r="D22" s="19" t="n"/>
      <c r="E22" s="19" t="n"/>
      <c r="F22" s="19" t="n"/>
    </row>
    <row r="23" ht="15" customHeight="1">
      <c r="A23" s="20" t="inlineStr">
        <is>
          <t>Step 1</t>
        </is>
      </c>
      <c r="B23" s="6" t="inlineStr">
        <is>
          <t>T06 Policy wording verified → T09 Ingestion → T10 Hybrid index → T16 policy-kb server</t>
        </is>
      </c>
    </row>
    <row r="24" ht="15" customHeight="1">
      <c r="A24" s="20" t="inlineStr">
        <is>
          <t>Step 2</t>
        </is>
      </c>
      <c r="B24" s="6" t="inlineStr">
        <is>
          <t>T15 Adjudication calculator (parallel, from Week 2) → T26 Coverage analyst</t>
        </is>
      </c>
    </row>
    <row r="25" ht="15" customHeight="1">
      <c r="A25" s="20" t="inlineStr">
        <is>
          <t>Step 3</t>
        </is>
      </c>
      <c r="B25" s="6" t="inlineStr">
        <is>
          <t>T23 LangGraph graph + T34 Approval gate → T38 First end-to-end run (target 27 Nov)</t>
        </is>
      </c>
    </row>
    <row r="26" ht="15" customHeight="1">
      <c r="A26" s="20" t="inlineStr">
        <is>
          <t>Step 4</t>
        </is>
      </c>
      <c r="B26" s="6" t="inlineStr">
        <is>
          <t>T22 Golden-set spec → T39 80 expected worksheets → T41 Eval harness → T51–T54 Experiments → T57 Report</t>
        </is>
      </c>
    </row>
    <row r="27" ht="15" customHeight="1">
      <c r="A27" s="20" t="inlineStr">
        <is>
          <t>Step 5</t>
        </is>
      </c>
      <c r="B27" s="6" t="inlineStr">
        <is>
          <t>T45 Reflexion loop needs a working E2E pipeline AND the harness — it cannot start before ~30 Nov</t>
        </is>
      </c>
    </row>
    <row r="29">
      <c r="A29" s="18" t="inlineStr">
        <is>
          <t>4. TOP RISKS</t>
        </is>
      </c>
      <c r="B29" s="19" t="n"/>
      <c r="C29" s="19" t="n"/>
      <c r="D29" s="19" t="n"/>
      <c r="E29" s="19" t="n"/>
      <c r="F29" s="19" t="n"/>
    </row>
    <row r="30">
      <c r="A30" s="13" t="inlineStr">
        <is>
          <t>Risk</t>
        </is>
      </c>
      <c r="B30" s="13" t="inlineStr">
        <is>
          <t>Likelihood</t>
        </is>
      </c>
      <c r="C30" s="13" t="inlineStr">
        <is>
          <t>Impact</t>
        </is>
      </c>
      <c r="D30" s="13" t="inlineStr">
        <is>
          <t>Owner</t>
        </is>
      </c>
      <c r="E30" s="13" t="inlineStr">
        <is>
          <t>Mitigation</t>
        </is>
      </c>
      <c r="F30" s="13" t="inlineStr">
        <is>
          <t>Status</t>
        </is>
      </c>
    </row>
    <row r="31">
      <c r="A31" s="14" t="inlineStr">
        <is>
          <t>Proportional cut after room-rent breach implemented wrong</t>
        </is>
      </c>
      <c r="B31" s="14" t="inlineStr">
        <is>
          <t>Medium</t>
        </is>
      </c>
      <c r="C31" s="14" t="inlineStr">
        <is>
          <t>High</t>
        </is>
      </c>
      <c r="D31" s="14" t="inlineStr">
        <is>
          <t>Tools &amp; Security</t>
        </is>
      </c>
      <c r="E31" s="14" t="inlineStr">
        <is>
          <t>Hand-worked examples from the wording as unit tests before any agent uses the calculator.</t>
        </is>
      </c>
      <c r="F31" s="21" t="inlineStr">
        <is>
          <t>Open</t>
        </is>
      </c>
    </row>
    <row r="32">
      <c r="A32" s="14" t="inlineStr">
        <is>
          <t>80 hand-made worksheets take far longer than planned</t>
        </is>
      </c>
      <c r="B32" s="14" t="inlineStr">
        <is>
          <t>High</t>
        </is>
      </c>
      <c r="C32" s="14" t="inlineStr">
        <is>
          <t>High</t>
        </is>
      </c>
      <c r="D32" s="14" t="inlineStr">
        <is>
          <t>Eval &amp; Red-Team</t>
        </is>
      </c>
      <c r="E32" s="14" t="inlineStr">
        <is>
          <t>Start in P1; Domain Lead drafts cases, Eval computes; spreadsheet template per claim.</t>
        </is>
      </c>
      <c r="F32" s="21" t="inlineStr">
        <is>
          <t>Open</t>
        </is>
      </c>
    </row>
    <row r="33">
      <c r="A33" s="14" t="inlineStr">
        <is>
          <t>Held-out leakage (tuner writes or sees held-out cases)</t>
        </is>
      </c>
      <c r="B33" s="14" t="inlineStr">
        <is>
          <t>Medium</t>
        </is>
      </c>
      <c r="C33" s="14" t="inlineStr">
        <is>
          <t>High</t>
        </is>
      </c>
      <c r="D33" s="14" t="inlineStr">
        <is>
          <t>Eval &amp; Red-Team</t>
        </is>
      </c>
      <c r="E33" s="14" t="inlineStr">
        <is>
          <t>Separate folder the agent can't read; Agents role never writes held-out cases; Domain checks them.</t>
        </is>
      </c>
      <c r="F33" s="21" t="inlineStr">
        <is>
          <t>Open</t>
        </is>
      </c>
    </row>
    <row r="34">
      <c r="A34" s="14" t="inlineStr">
        <is>
          <t>Late integration — components don't fit together</t>
        </is>
      </c>
      <c r="B34" s="14" t="inlineStr">
        <is>
          <t>Medium</t>
        </is>
      </c>
      <c r="C34" s="14" t="inlineStr">
        <is>
          <t>High</t>
        </is>
      </c>
      <c r="D34" s="14" t="inlineStr">
        <is>
          <t>Deploy &amp; Ops</t>
        </is>
      </c>
      <c r="E34" s="14" t="inlineStr">
        <is>
          <t>Docker Compose + interface handoffs agreed by 13 Nov; E2E run on 27 Nov is a hard milestone.</t>
        </is>
      </c>
      <c r="F34" s="21" t="inlineStr">
        <is>
          <t>Open</t>
        </is>
      </c>
    </row>
    <row r="35">
      <c r="A35" s="14" t="inlineStr">
        <is>
          <t>Ambiguous ownership of L13/L15</t>
        </is>
      </c>
      <c r="B35" s="14" t="inlineStr">
        <is>
          <t>High</t>
        </is>
      </c>
      <c r="C35" s="14" t="inlineStr">
        <is>
          <t>Medium</t>
        </is>
      </c>
      <c r="D35" s="14" t="inlineStr">
        <is>
          <t>Eval &amp; Red-Team</t>
        </is>
      </c>
      <c r="E35" s="14" t="inlineStr">
        <is>
          <t>Close PB-01/PB-02 with ADR-0002 this week.</t>
        </is>
      </c>
      <c r="F35" s="21" t="inlineStr">
        <is>
          <t>Open</t>
        </is>
      </c>
    </row>
    <row r="36">
      <c r="A36" s="14" t="inlineStr">
        <is>
          <t>Health data / keys leak into traces, Discord or this sheet</t>
        </is>
      </c>
      <c r="B36" s="14" t="inlineStr">
        <is>
          <t>Low</t>
        </is>
      </c>
      <c r="C36" s="14" t="inlineStr">
        <is>
          <t>High</t>
        </is>
      </c>
      <c r="D36" s="14" t="inlineStr">
        <is>
          <t>Tools &amp; Security</t>
        </is>
      </c>
      <c r="E36" s="14" t="inlineStr">
        <is>
          <t>Synthetic data only; masking in hooks; secret scanning; AutoMod rule.</t>
        </is>
      </c>
      <c r="F36" s="21" t="inlineStr">
        <is>
          <t>Open</t>
        </is>
      </c>
    </row>
    <row r="37">
      <c r="A37" s="14" t="inlineStr">
        <is>
          <t>LLM cost/rate limits during repeated eval runs</t>
        </is>
      </c>
      <c r="B37" s="14" t="inlineStr">
        <is>
          <t>Medium</t>
        </is>
      </c>
      <c r="C37" s="14" t="inlineStr">
        <is>
          <t>Medium</t>
        </is>
      </c>
      <c r="D37" s="14" t="inlineStr">
        <is>
          <t>Deploy &amp; Ops</t>
        </is>
      </c>
      <c r="E37" s="14" t="inlineStr">
        <is>
          <t>Cache, fixed small model for specialists, cost per case on dashboard.</t>
        </is>
      </c>
      <c r="F37" s="21" t="inlineStr">
        <is>
          <t>Open</t>
        </is>
      </c>
    </row>
    <row r="38">
      <c r="A38" s="14" t="inlineStr">
        <is>
          <t>Final review date unknown — plan may be too long/short</t>
        </is>
      </c>
      <c r="B38" s="14" t="inlineStr">
        <is>
          <t>Medium</t>
        </is>
      </c>
      <c r="C38" s="14" t="inlineStr">
        <is>
          <t>Medium</t>
        </is>
      </c>
      <c r="D38" s="14" t="inlineStr">
        <is>
          <t>Domain &amp; Product Lead</t>
        </is>
      </c>
      <c r="E38" s="14" t="inlineStr">
        <is>
          <t>Confirm date (PB-07) and re-date phases on the Dashboard.</t>
        </is>
      </c>
      <c r="F38" s="21" t="inlineStr">
        <is>
          <t>Open</t>
        </is>
      </c>
    </row>
    <row r="40">
      <c r="A40" s="18" t="inlineStr">
        <is>
          <t>5. RULES THAT PROTECT THE MARKS</t>
        </is>
      </c>
      <c r="B40" s="19" t="n"/>
      <c r="C40" s="19" t="n"/>
      <c r="D40" s="19" t="n"/>
      <c r="E40" s="19" t="n"/>
      <c r="F40" s="19" t="n"/>
    </row>
    <row r="41" ht="15" customHeight="1">
      <c r="A41" s="20" t="inlineStr">
        <is>
          <t>Model proposes, code decides</t>
        </is>
      </c>
      <c r="B41" s="6" t="inlineStr">
        <is>
          <t>Arithmetic, eligibility, money and permissions live in tested code. The model picks the clause and explains.</t>
        </is>
      </c>
    </row>
    <row r="42" ht="15" customHeight="1">
      <c r="A42" s="20" t="inlineStr">
        <is>
          <t>Outside text is data</t>
        </is>
      </c>
      <c r="B42" s="6" t="inlineStr">
        <is>
          <t>Discharge summaries, bills and retrieved passages may contain injected instructions.</t>
        </is>
      </c>
    </row>
    <row r="43" ht="15" customHeight="1">
      <c r="A43" s="20" t="inlineStr">
        <is>
          <t>Exact-payload approval</t>
        </is>
      </c>
      <c r="B43" s="6" t="inlineStr">
        <is>
          <t>Approval is tied to the worksheet hash; any edit invalidates it. Two levels above the threshold.</t>
        </is>
      </c>
    </row>
    <row r="44" ht="30" customHeight="1">
      <c r="A44" s="20" t="inlineStr">
        <is>
          <t>Two separations</t>
        </is>
      </c>
      <c r="B44" s="6" t="inlineStr">
        <is>
          <t>Whoever tunes the agent does not write held-out cases; whoever builds defences does not write attacks. Eval &amp; Red-Team owns both.</t>
        </is>
      </c>
    </row>
  </sheetData>
  <mergeCells count="15">
    <mergeCell ref="B44:F44"/>
    <mergeCell ref="B43:F43"/>
    <mergeCell ref="B7:F7"/>
    <mergeCell ref="B6:F6"/>
    <mergeCell ref="B24:F24"/>
    <mergeCell ref="B10:F10"/>
    <mergeCell ref="B25:F25"/>
    <mergeCell ref="B41:F41"/>
    <mergeCell ref="B42:F42"/>
    <mergeCell ref="B5:F5"/>
    <mergeCell ref="B23:F23"/>
    <mergeCell ref="B8:F8"/>
    <mergeCell ref="B26:F26"/>
    <mergeCell ref="B9:F9"/>
    <mergeCell ref="B27:F27"/>
  </mergeCells>
  <conditionalFormatting sqref="B31:C38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3">
      <formula>"Low"</formula>
    </cfRule>
  </conditionalFormatting>
  <dataValidations count="1">
    <dataValidation sqref="F31:F38" showDropDown="0" showInputMessage="0" showErrorMessage="0" allowBlank="1" type="list">
      <formula1>"Open,Mitigating,Closed"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6" customWidth="1" min="4" max="4"/>
    <col width="20" customWidth="1" min="5" max="5"/>
    <col width="60" customWidth="1" min="6" max="6"/>
    <col width="18" customWidth="1" min="7" max="7"/>
    <col width="12" customWidth="1" min="8" max="8"/>
  </cols>
  <sheetData>
    <row r="1">
      <c r="A1" s="1" t="inlineStr">
        <is>
          <t>Team &amp; Roles</t>
        </is>
      </c>
    </row>
    <row r="2">
      <c r="A2" s="2" t="inlineStr">
        <is>
          <t>Fill in the yellow cells. Member names appear automatically on every other tab.</t>
        </is>
      </c>
    </row>
    <row r="4">
      <c r="A4" s="13" t="inlineStr">
        <is>
          <t>Role</t>
        </is>
      </c>
      <c r="B4" s="13" t="inlineStr">
        <is>
          <t>Member Name</t>
        </is>
      </c>
      <c r="C4" s="13" t="inlineStr">
        <is>
          <t>Backup</t>
        </is>
      </c>
      <c r="D4" s="13" t="inlineStr">
        <is>
          <t>Email</t>
        </is>
      </c>
      <c r="E4" s="13" t="inlineStr">
        <is>
          <t>Layers</t>
        </is>
      </c>
      <c r="F4" s="13" t="inlineStr">
        <is>
          <t>Main Deliverables</t>
        </is>
      </c>
      <c r="G4" s="13" t="inlineStr">
        <is>
          <t>GitHub Label</t>
        </is>
      </c>
      <c r="H4" s="13" t="inlineStr">
        <is>
          <t>Log Tab</t>
        </is>
      </c>
    </row>
    <row r="5">
      <c r="A5" s="14" t="inlineStr">
        <is>
          <t>Domain &amp; Product Lead</t>
        </is>
      </c>
      <c r="B5" s="21" t="inlineStr">
        <is>
          <t>Member 1</t>
        </is>
      </c>
      <c r="C5" s="21" t="inlineStr"/>
      <c r="D5" s="21" t="inlineStr"/>
      <c r="E5" s="14" t="inlineStr">
        <is>
          <t>—</t>
        </is>
      </c>
      <c r="F5" s="14" t="inlineStr">
        <is>
          <t>Problem statement, persona, policy wording, tariff table, synthetic claims, held-out check, demo script</t>
        </is>
      </c>
      <c r="G5" s="14" t="inlineStr">
        <is>
          <t>area:domain</t>
        </is>
      </c>
      <c r="H5" s="14" t="inlineStr">
        <is>
          <t>1-Domain</t>
        </is>
      </c>
    </row>
    <row r="6">
      <c r="A6" s="14" t="inlineStr">
        <is>
          <t>Knowledge &amp; Memory</t>
        </is>
      </c>
      <c r="B6" s="21" t="inlineStr">
        <is>
          <t>Member 2</t>
        </is>
      </c>
      <c r="C6" s="21" t="inlineStr"/>
      <c r="D6" s="21" t="inlineStr"/>
      <c r="E6" s="14" t="inlineStr">
        <is>
          <t>L4–L6, L9</t>
        </is>
      </c>
      <c r="F6" s="14" t="inlineStr">
        <is>
          <t>Ingestion, hybrid retrieval + reranker, claim-history memory, lesson store, memory policy</t>
        </is>
      </c>
      <c r="G6" s="14" t="inlineStr">
        <is>
          <t>area:knowledge</t>
        </is>
      </c>
      <c r="H6" s="14" t="inlineStr">
        <is>
          <t>2-Knowledge</t>
        </is>
      </c>
    </row>
    <row r="7">
      <c r="A7" s="14" t="inlineStr">
        <is>
          <t>Agents &amp; Orchestration</t>
        </is>
      </c>
      <c r="B7" s="21" t="inlineStr">
        <is>
          <t>Member 3</t>
        </is>
      </c>
      <c r="C7" s="21" t="inlineStr"/>
      <c r="D7" s="21" t="inlineStr"/>
      <c r="E7" s="14" t="inlineStr">
        <is>
          <t>L8, L10–L12</t>
        </is>
      </c>
      <c r="F7" s="14" t="inlineStr">
        <is>
          <t>LangGraph graph, planner, 5 specialist agents, critic loop, Reflexion playbook</t>
        </is>
      </c>
      <c r="G7" s="14" t="inlineStr">
        <is>
          <t>area:agents</t>
        </is>
      </c>
      <c r="H7" s="14" t="inlineStr">
        <is>
          <t>3-Agents</t>
        </is>
      </c>
    </row>
    <row r="8">
      <c r="A8" s="14" t="inlineStr">
        <is>
          <t>Tools &amp; Security</t>
        </is>
      </c>
      <c r="B8" s="21" t="inlineStr">
        <is>
          <t>Member 4</t>
        </is>
      </c>
      <c r="C8" s="21" t="inlineStr"/>
      <c r="D8" s="21" t="inlineStr"/>
      <c r="E8" s="14" t="inlineStr">
        <is>
          <t>L7, L14, L15</t>
        </is>
      </c>
      <c r="F8" s="14" t="inlineStr">
        <is>
          <t>4 MCP servers, adjudication calculator, hooks, approval gate, guardrails, threat model</t>
        </is>
      </c>
      <c r="G8" s="14" t="inlineStr">
        <is>
          <t>area:tools-security</t>
        </is>
      </c>
      <c r="H8" s="14" t="inlineStr">
        <is>
          <t>4-ToolsSec</t>
        </is>
      </c>
    </row>
    <row r="9">
      <c r="A9" s="14" t="inlineStr">
        <is>
          <t>Eval &amp; Red-Team</t>
        </is>
      </c>
      <c r="B9" s="21" t="inlineStr">
        <is>
          <t>Member 5</t>
        </is>
      </c>
      <c r="C9" s="21" t="inlineStr"/>
      <c r="D9" s="21" t="inlineStr"/>
      <c r="E9" s="14" t="inlineStr">
        <is>
          <t>L13 harness, L15 evals</t>
        </is>
      </c>
      <c r="F9" s="14" t="inlineStr">
        <is>
          <t>Golden set (80 claims), harness, judge calibration, red-team suite, E1–E4, eval report</t>
        </is>
      </c>
      <c r="G9" s="14" t="inlineStr">
        <is>
          <t>area:eval</t>
        </is>
      </c>
      <c r="H9" s="14" t="inlineStr">
        <is>
          <t>5-Eval</t>
        </is>
      </c>
    </row>
    <row r="10">
      <c r="A10" s="14" t="inlineStr">
        <is>
          <t>Deploy &amp; Ops</t>
        </is>
      </c>
      <c r="B10" s="21" t="inlineStr">
        <is>
          <t>Member 6</t>
        </is>
      </c>
      <c r="C10" s="21" t="inlineStr"/>
      <c r="D10" s="21" t="inlineStr"/>
      <c r="E10" s="14" t="inlineStr">
        <is>
          <t>L13 CI gate, L16</t>
        </is>
      </c>
      <c r="F10" s="14" t="inlineStr">
        <is>
          <t>FastAPI + UI, Docker Compose, CI eval gate, tracing, Grafana, alerts</t>
        </is>
      </c>
      <c r="G10" s="14" t="inlineStr">
        <is>
          <t>area:ops</t>
        </is>
      </c>
      <c r="H10" s="14" t="inlineStr">
        <is>
          <t>6-DevOps</t>
        </is>
      </c>
    </row>
    <row r="12">
      <c r="A12" s="22" t="inlineStr">
        <is>
          <t>Key links</t>
        </is>
      </c>
    </row>
    <row r="13">
      <c r="A13" s="23" t="inlineStr">
        <is>
          <t>GitHub repo</t>
        </is>
      </c>
      <c r="B13" s="24" t="n"/>
    </row>
    <row r="14">
      <c r="A14" s="23" t="inlineStr">
        <is>
          <t>Projects board</t>
        </is>
      </c>
      <c r="B14" s="24" t="n"/>
    </row>
    <row r="15">
      <c r="A15" s="23" t="inlineStr">
        <is>
          <t>Discord server</t>
        </is>
      </c>
      <c r="B15" s="24" t="n"/>
    </row>
    <row r="16">
      <c r="A16" s="23" t="inlineStr">
        <is>
          <t>Google Drive folder</t>
        </is>
      </c>
      <c r="B16" s="24" t="n"/>
    </row>
    <row r="17">
      <c r="A17" s="23" t="inlineStr">
        <is>
          <t>Final review date</t>
        </is>
      </c>
      <c r="B17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S4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7" customWidth="1" min="3" max="3"/>
    <col width="52" customWidth="1" min="4" max="4"/>
    <col width="30" customWidth="1" min="5" max="5"/>
    <col width="22" customWidth="1" min="6" max="6"/>
    <col width="14" customWidth="1" min="7" max="7"/>
    <col width="11" customWidth="1" min="8" max="8"/>
    <col width="11" customWidth="1" min="9" max="9"/>
    <col width="12" customWidth="1" min="10" max="10"/>
    <col width="8" customWidth="1" min="11" max="11"/>
    <col width="9" customWidth="1" min="12" max="12"/>
    <col width="11" customWidth="1" min="13" max="13"/>
    <col width="32" customWidth="1" min="14" max="14"/>
    <col width="11" customWidth="1" min="15" max="15"/>
    <col width="28" customWidth="1" min="16" max="16"/>
    <col width="26" customWidth="1" min="17" max="17"/>
    <col width="10" customWidth="1" min="18" max="18"/>
    <col width="22" customWidth="1" min="19" max="19"/>
  </cols>
  <sheetData>
    <row r="1">
      <c r="A1" s="13" t="inlineStr">
        <is>
          <t>ID</t>
        </is>
      </c>
      <c r="B1" s="13" t="inlineStr">
        <is>
          <t>Phase</t>
        </is>
      </c>
      <c r="C1" s="13" t="inlineStr">
        <is>
          <t>Layer</t>
        </is>
      </c>
      <c r="D1" s="13" t="inlineStr">
        <is>
          <t>Task</t>
        </is>
      </c>
      <c r="E1" s="13" t="inlineStr">
        <is>
          <t>Deliverable / Evidence</t>
        </is>
      </c>
      <c r="F1" s="13" t="inlineStr">
        <is>
          <t>Owner (Role)</t>
        </is>
      </c>
      <c r="G1" s="13" t="inlineStr">
        <is>
          <t>Member</t>
        </is>
      </c>
      <c r="H1" s="13" t="inlineStr">
        <is>
          <t>Start Date</t>
        </is>
      </c>
      <c r="I1" s="13" t="inlineStr">
        <is>
          <t>Due Date</t>
        </is>
      </c>
      <c r="J1" s="13" t="inlineStr">
        <is>
          <t>Status</t>
        </is>
      </c>
      <c r="K1" s="13" t="inlineStr">
        <is>
          <t>% Done</t>
        </is>
      </c>
      <c r="L1" s="13" t="inlineStr">
        <is>
          <t>Priority</t>
        </is>
      </c>
      <c r="M1" s="13" t="inlineStr">
        <is>
          <t>Depends On</t>
        </is>
      </c>
      <c r="N1" s="13" t="inlineStr">
        <is>
          <t>Problem / Blocker</t>
        </is>
      </c>
      <c r="O1" s="13" t="inlineStr">
        <is>
          <t>Problem Date</t>
        </is>
      </c>
      <c r="P1" s="13" t="inlineStr">
        <is>
          <t>Resolution</t>
        </is>
      </c>
      <c r="Q1" s="13" t="inlineStr">
        <is>
          <t>Evidence Link</t>
        </is>
      </c>
      <c r="R1" s="13" t="inlineStr">
        <is>
          <t>Overdue?</t>
        </is>
      </c>
      <c r="S1" s="13" t="inlineStr">
        <is>
          <t>Notes</t>
        </is>
      </c>
    </row>
    <row r="2">
      <c r="A2" s="14" t="inlineStr">
        <is>
          <t>T01</t>
        </is>
      </c>
      <c r="B2" s="14" t="inlineStr">
        <is>
          <t>P0 Setup &amp; Planning</t>
        </is>
      </c>
      <c r="C2" s="14" t="inlineStr">
        <is>
          <t>Project Mgmt</t>
        </is>
      </c>
      <c r="D2" s="14" t="inlineStr">
        <is>
          <t>Assign the 6 roles and backups; fill in the Team tab</t>
        </is>
      </c>
      <c r="E2" s="14" t="inlineStr">
        <is>
          <t>Team tab complete</t>
        </is>
      </c>
      <c r="F2" s="14" t="inlineStr">
        <is>
          <t>All</t>
        </is>
      </c>
      <c r="G2" s="14">
        <f>IF(F2="","",IF(F2="All","Whole team",IFERROR(INDEX(Team!$B$5:$B$10,MATCH(F2,Team!$A$5:$A$10,0)),"")))</f>
        <v/>
      </c>
      <c r="H2" s="16" t="n">
        <v>46321</v>
      </c>
      <c r="I2" s="16" t="n">
        <v>46325</v>
      </c>
      <c r="J2" s="21" t="inlineStr">
        <is>
          <t>Not Started</t>
        </is>
      </c>
      <c r="K2" s="25" t="n">
        <v>0</v>
      </c>
      <c r="L2" s="14" t="inlineStr">
        <is>
          <t>High</t>
        </is>
      </c>
      <c r="M2" s="14" t="inlineStr"/>
      <c r="N2" s="21" t="n"/>
      <c r="O2" s="17" t="n"/>
      <c r="P2" s="21" t="n"/>
      <c r="Q2" s="21" t="n"/>
      <c r="R2" s="14">
        <f>IF(OR(I2="",J2="Done"),"",IF(I2&lt;TODAY(),"OVERDUE",""))</f>
        <v/>
      </c>
      <c r="S2" s="14" t="n"/>
    </row>
    <row r="3">
      <c r="A3" s="14" t="inlineStr">
        <is>
          <t>T02</t>
        </is>
      </c>
      <c r="B3" s="14" t="inlineStr">
        <is>
          <t>P0 Setup &amp; Planning</t>
        </is>
      </c>
      <c r="C3" s="14" t="inlineStr">
        <is>
          <t>Project Mgmt</t>
        </is>
      </c>
      <c r="D3" s="14" t="inlineStr">
        <is>
          <t>Create GitHub repo, Projects board, area labels, milestones</t>
        </is>
      </c>
      <c r="E3" s="14" t="inlineStr">
        <is>
          <t>Repo + board link in Team tab</t>
        </is>
      </c>
      <c r="F3" s="14" t="inlineStr">
        <is>
          <t>Deploy &amp; Ops</t>
        </is>
      </c>
      <c r="G3" s="14">
        <f>IF(F3="","",IF(F3="All","Whole team",IFERROR(INDEX(Team!$B$5:$B$10,MATCH(F3,Team!$A$5:$A$10,0)),"")))</f>
        <v/>
      </c>
      <c r="H3" s="16" t="n">
        <v>46321</v>
      </c>
      <c r="I3" s="16" t="n">
        <v>46325</v>
      </c>
      <c r="J3" s="21" t="inlineStr">
        <is>
          <t>Not Started</t>
        </is>
      </c>
      <c r="K3" s="25" t="n">
        <v>0</v>
      </c>
      <c r="L3" s="14" t="inlineStr">
        <is>
          <t>High</t>
        </is>
      </c>
      <c r="M3" s="14" t="inlineStr"/>
      <c r="N3" s="21" t="n"/>
      <c r="O3" s="17" t="n"/>
      <c r="P3" s="21" t="n"/>
      <c r="Q3" s="21" t="n"/>
      <c r="R3" s="14">
        <f>IF(OR(I3="",J3="Done"),"",IF(I3&lt;TODAY(),"OVERDUE",""))</f>
        <v/>
      </c>
      <c r="S3" s="14" t="n"/>
    </row>
    <row r="4">
      <c r="A4" s="14" t="inlineStr">
        <is>
          <t>T03</t>
        </is>
      </c>
      <c r="B4" s="14" t="inlineStr">
        <is>
          <t>P0 Setup &amp; Planning</t>
        </is>
      </c>
      <c r="C4" s="14" t="inlineStr">
        <is>
          <t>Project Mgmt</t>
        </is>
      </c>
      <c r="D4" s="14" t="inlineStr">
        <is>
          <t>Set up the Discord server per the playbook</t>
        </is>
      </c>
      <c r="E4" s="14" t="inlineStr">
        <is>
          <t>Server live, checklist ticked</t>
        </is>
      </c>
      <c r="F4" s="14" t="inlineStr">
        <is>
          <t>Deploy &amp; Ops</t>
        </is>
      </c>
      <c r="G4" s="14">
        <f>IF(F4="","",IF(F4="All","Whole team",IFERROR(INDEX(Team!$B$5:$B$10,MATCH(F4,Team!$A$5:$A$10,0)),"")))</f>
        <v/>
      </c>
      <c r="H4" s="16" t="n">
        <v>46321</v>
      </c>
      <c r="I4" s="16" t="n">
        <v>46325</v>
      </c>
      <c r="J4" s="21" t="inlineStr">
        <is>
          <t>Not Started</t>
        </is>
      </c>
      <c r="K4" s="25" t="n">
        <v>0</v>
      </c>
      <c r="L4" s="14" t="inlineStr">
        <is>
          <t>Medium</t>
        </is>
      </c>
      <c r="M4" s="14" t="inlineStr"/>
      <c r="N4" s="21" t="n"/>
      <c r="O4" s="17" t="n"/>
      <c r="P4" s="21" t="n"/>
      <c r="Q4" s="21" t="n"/>
      <c r="R4" s="14">
        <f>IF(OR(I4="",J4="Done"),"",IF(I4&lt;TODAY(),"OVERDUE",""))</f>
        <v/>
      </c>
      <c r="S4" s="14" t="n"/>
    </row>
    <row r="5">
      <c r="A5" s="14" t="inlineStr">
        <is>
          <t>T04</t>
        </is>
      </c>
      <c r="B5" s="14" t="inlineStr">
        <is>
          <t>P0 Setup &amp; Planning</t>
        </is>
      </c>
      <c r="C5" s="14" t="inlineStr">
        <is>
          <t>Project Mgmt</t>
        </is>
      </c>
      <c r="D5" s="14" t="inlineStr">
        <is>
          <t>Each role writes a one-page plan for its layers</t>
        </is>
      </c>
      <c r="E5" s="14" t="inlineStr">
        <is>
          <t>6 plans linked from issues</t>
        </is>
      </c>
      <c r="F5" s="14" t="inlineStr">
        <is>
          <t>All</t>
        </is>
      </c>
      <c r="G5" s="14">
        <f>IF(F5="","",IF(F5="All","Whole team",IFERROR(INDEX(Team!$B$5:$B$10,MATCH(F5,Team!$A$5:$A$10,0)),"")))</f>
        <v/>
      </c>
      <c r="H5" s="16" t="n">
        <v>46321</v>
      </c>
      <c r="I5" s="16" t="n">
        <v>46325</v>
      </c>
      <c r="J5" s="21" t="inlineStr">
        <is>
          <t>Not Started</t>
        </is>
      </c>
      <c r="K5" s="25" t="n">
        <v>0</v>
      </c>
      <c r="L5" s="14" t="inlineStr">
        <is>
          <t>High</t>
        </is>
      </c>
      <c r="M5" s="14" t="inlineStr">
        <is>
          <t>T01</t>
        </is>
      </c>
      <c r="N5" s="21" t="n"/>
      <c r="O5" s="17" t="n"/>
      <c r="P5" s="21" t="n"/>
      <c r="Q5" s="21" t="n"/>
      <c r="R5" s="14">
        <f>IF(OR(I5="",J5="Done"),"",IF(I5&lt;TODAY(),"OVERDUE",""))</f>
        <v/>
      </c>
      <c r="S5" s="14" t="n"/>
    </row>
    <row r="6">
      <c r="A6" s="14" t="inlineStr">
        <is>
          <t>T05</t>
        </is>
      </c>
      <c r="B6" s="14" t="inlineStr">
        <is>
          <t>P0 Setup &amp; Planning</t>
        </is>
      </c>
      <c r="C6" s="14" t="inlineStr">
        <is>
          <t>L13 Evaluation</t>
        </is>
      </c>
      <c r="D6" s="14" t="inlineStr">
        <is>
          <t>ADR: L13/L15 ownership split (Eval vs Deploy, threat-model sign-off)</t>
        </is>
      </c>
      <c r="E6" s="14" t="inlineStr">
        <is>
          <t>ADR-0002 accepted</t>
        </is>
      </c>
      <c r="F6" s="14" t="inlineStr">
        <is>
          <t>Eval &amp; Red-Team</t>
        </is>
      </c>
      <c r="G6" s="14">
        <f>IF(F6="","",IF(F6="All","Whole team",IFERROR(INDEX(Team!$B$5:$B$10,MATCH(F6,Team!$A$5:$A$10,0)),"")))</f>
        <v/>
      </c>
      <c r="H6" s="16" t="n">
        <v>46321</v>
      </c>
      <c r="I6" s="16" t="n">
        <v>46325</v>
      </c>
      <c r="J6" s="21" t="inlineStr">
        <is>
          <t>Not Started</t>
        </is>
      </c>
      <c r="K6" s="25" t="n">
        <v>0</v>
      </c>
      <c r="L6" s="14" t="inlineStr">
        <is>
          <t>High</t>
        </is>
      </c>
      <c r="M6" s="14" t="inlineStr"/>
      <c r="N6" s="21" t="n"/>
      <c r="O6" s="17" t="n"/>
      <c r="P6" s="21" t="n"/>
      <c r="Q6" s="21" t="n"/>
      <c r="R6" s="14">
        <f>IF(OR(I6="",J6="Done"),"",IF(I6&lt;TODAY(),"OVERDUE",""))</f>
        <v/>
      </c>
      <c r="S6" s="14" t="n"/>
    </row>
    <row r="7">
      <c r="A7" s="14" t="inlineStr">
        <is>
          <t>T06</t>
        </is>
      </c>
      <c r="B7" s="14" t="inlineStr">
        <is>
          <t>P0 Setup &amp; Planning</t>
        </is>
      </c>
      <c r="C7" s="14" t="inlineStr">
        <is>
          <t>Domain/Product</t>
        </is>
      </c>
      <c r="D7" s="14" t="inlineStr">
        <is>
          <t>Download Arogya Sanjeevani wording (1–2 insurers); verify CIS numbers (room 2%/₹5k, ICU 5%/₹10k, cataract, 5% co-pay, waiting periods)</t>
        </is>
      </c>
      <c r="E7" s="14" t="inlineStr">
        <is>
          <t>Wording PDFs + verified rules sheet</t>
        </is>
      </c>
      <c r="F7" s="14" t="inlineStr">
        <is>
          <t>Domain &amp; Product Lead</t>
        </is>
      </c>
      <c r="G7" s="14">
        <f>IF(F7="","",IF(F7="All","Whole team",IFERROR(INDEX(Team!$B$5:$B$10,MATCH(F7,Team!$A$5:$A$10,0)),"")))</f>
        <v/>
      </c>
      <c r="H7" s="16" t="n">
        <v>46321</v>
      </c>
      <c r="I7" s="16" t="n">
        <v>46325</v>
      </c>
      <c r="J7" s="21" t="inlineStr">
        <is>
          <t>Not Started</t>
        </is>
      </c>
      <c r="K7" s="25" t="n">
        <v>0</v>
      </c>
      <c r="L7" s="14" t="inlineStr">
        <is>
          <t>High</t>
        </is>
      </c>
      <c r="M7" s="14" t="inlineStr"/>
      <c r="N7" s="21" t="n"/>
      <c r="O7" s="17" t="n"/>
      <c r="P7" s="21" t="n"/>
      <c r="Q7" s="21" t="n"/>
      <c r="R7" s="14">
        <f>IF(OR(I7="",J7="Done"),"",IF(I7&lt;TODAY(),"OVERDUE",""))</f>
        <v/>
      </c>
      <c r="S7" s="14" t="n"/>
    </row>
    <row r="8">
      <c r="A8" s="14" t="inlineStr">
        <is>
          <t>T07</t>
        </is>
      </c>
      <c r="B8" s="14" t="inlineStr">
        <is>
          <t>P0 Setup &amp; Planning</t>
        </is>
      </c>
      <c r="C8" s="14" t="inlineStr">
        <is>
          <t>Domain/Product</t>
        </is>
      </c>
      <c r="D8" s="14" t="inlineStr">
        <is>
          <t>Write problem statement and claims-adjudicator persona</t>
        </is>
      </c>
      <c r="E8" s="14" t="inlineStr">
        <is>
          <t>docs/problem.md</t>
        </is>
      </c>
      <c r="F8" s="14" t="inlineStr">
        <is>
          <t>Domain &amp; Product Lead</t>
        </is>
      </c>
      <c r="G8" s="14">
        <f>IF(F8="","",IF(F8="All","Whole team",IFERROR(INDEX(Team!$B$5:$B$10,MATCH(F8,Team!$A$5:$A$10,0)),"")))</f>
        <v/>
      </c>
      <c r="H8" s="16" t="n">
        <v>46321</v>
      </c>
      <c r="I8" s="16" t="n">
        <v>46325</v>
      </c>
      <c r="J8" s="21" t="inlineStr">
        <is>
          <t>Not Started</t>
        </is>
      </c>
      <c r="K8" s="25" t="n">
        <v>0</v>
      </c>
      <c r="L8" s="14" t="inlineStr">
        <is>
          <t>Medium</t>
        </is>
      </c>
      <c r="M8" s="14" t="inlineStr"/>
      <c r="N8" s="21" t="n"/>
      <c r="O8" s="17" t="n"/>
      <c r="P8" s="21" t="n"/>
      <c r="Q8" s="21" t="n"/>
      <c r="R8" s="14">
        <f>IF(OR(I8="",J8="Done"),"",IF(I8&lt;TODAY(),"OVERDUE",""))</f>
        <v/>
      </c>
      <c r="S8" s="14" t="n"/>
    </row>
    <row r="9">
      <c r="A9" s="14" t="inlineStr">
        <is>
          <t>T08</t>
        </is>
      </c>
      <c r="B9" s="14" t="inlineStr">
        <is>
          <t>P0 Setup &amp; Planning</t>
        </is>
      </c>
      <c r="C9" s="14" t="inlineStr">
        <is>
          <t>Project Mgmt</t>
        </is>
      </c>
      <c r="D9" s="14" t="inlineStr">
        <is>
          <t>Open handoff issues from the Handoffs tab with agreed format + date</t>
        </is>
      </c>
      <c r="E9" s="14" t="inlineStr">
        <is>
          <t>9 handoff issues</t>
        </is>
      </c>
      <c r="F9" s="14" t="inlineStr">
        <is>
          <t>All</t>
        </is>
      </c>
      <c r="G9" s="14">
        <f>IF(F9="","",IF(F9="All","Whole team",IFERROR(INDEX(Team!$B$5:$B$10,MATCH(F9,Team!$A$5:$A$10,0)),"")))</f>
        <v/>
      </c>
      <c r="H9" s="16" t="n">
        <v>46321</v>
      </c>
      <c r="I9" s="16" t="n">
        <v>46325</v>
      </c>
      <c r="J9" s="21" t="inlineStr">
        <is>
          <t>Not Started</t>
        </is>
      </c>
      <c r="K9" s="25" t="n">
        <v>0</v>
      </c>
      <c r="L9" s="14" t="inlineStr">
        <is>
          <t>High</t>
        </is>
      </c>
      <c r="M9" s="14" t="inlineStr">
        <is>
          <t>T04</t>
        </is>
      </c>
      <c r="N9" s="21" t="n"/>
      <c r="O9" s="17" t="n"/>
      <c r="P9" s="21" t="n"/>
      <c r="Q9" s="21" t="n"/>
      <c r="R9" s="14">
        <f>IF(OR(I9="",J9="Done"),"",IF(I9&lt;TODAY(),"OVERDUE",""))</f>
        <v/>
      </c>
      <c r="S9" s="14" t="n"/>
    </row>
    <row r="10">
      <c r="A10" s="14" t="inlineStr">
        <is>
          <t>T09</t>
        </is>
      </c>
      <c r="B10" s="14" t="inlineStr">
        <is>
          <t>P1 Foundations</t>
        </is>
      </c>
      <c r="C10" s="14" t="inlineStr">
        <is>
          <t>L4–L6 Retrieval</t>
        </is>
      </c>
      <c r="D10" s="14" t="inlineStr">
        <is>
          <t>Ingestion: policy PDF → one chunk per numbered clause, keep clause no., insurer, date</t>
        </is>
      </c>
      <c r="E10" s="14" t="inlineStr">
        <is>
          <t>Ingestion script + chunk sample</t>
        </is>
      </c>
      <c r="F10" s="14" t="inlineStr">
        <is>
          <t>Knowledge &amp; Memory</t>
        </is>
      </c>
      <c r="G10" s="14">
        <f>IF(F10="","",IF(F10="All","Whole team",IFERROR(INDEX(Team!$B$5:$B$10,MATCH(F10,Team!$A$5:$A$10,0)),"")))</f>
        <v/>
      </c>
      <c r="H10" s="16" t="n">
        <v>46328</v>
      </c>
      <c r="I10" s="16" t="n">
        <v>46339</v>
      </c>
      <c r="J10" s="21" t="inlineStr">
        <is>
          <t>Not Started</t>
        </is>
      </c>
      <c r="K10" s="25" t="n">
        <v>0</v>
      </c>
      <c r="L10" s="14" t="inlineStr">
        <is>
          <t>High</t>
        </is>
      </c>
      <c r="M10" s="14" t="inlineStr">
        <is>
          <t>T06</t>
        </is>
      </c>
      <c r="N10" s="21" t="n"/>
      <c r="O10" s="17" t="n"/>
      <c r="P10" s="21" t="n"/>
      <c r="Q10" s="21" t="n"/>
      <c r="R10" s="14">
        <f>IF(OR(I10="",J10="Done"),"",IF(I10&lt;TODAY(),"OVERDUE",""))</f>
        <v/>
      </c>
      <c r="S10" s="14" t="n"/>
    </row>
    <row r="11">
      <c r="A11" s="14" t="inlineStr">
        <is>
          <t>T10</t>
        </is>
      </c>
      <c r="B11" s="14" t="inlineStr">
        <is>
          <t>P1 Foundations</t>
        </is>
      </c>
      <c r="C11" s="14" t="inlineStr">
        <is>
          <t>L4–L6 Retrieval</t>
        </is>
      </c>
      <c r="D11" s="14" t="inlineStr">
        <is>
          <t>Hybrid index: BM25 + vectors with RRF, cross-encoder reranker</t>
        </is>
      </c>
      <c r="E11" s="14" t="inlineStr">
        <is>
          <t>Index + retrieval API</t>
        </is>
      </c>
      <c r="F11" s="14" t="inlineStr">
        <is>
          <t>Knowledge &amp; Memory</t>
        </is>
      </c>
      <c r="G11" s="14">
        <f>IF(F11="","",IF(F11="All","Whole team",IFERROR(INDEX(Team!$B$5:$B$10,MATCH(F11,Team!$A$5:$A$10,0)),"")))</f>
        <v/>
      </c>
      <c r="H11" s="16" t="n">
        <v>46328</v>
      </c>
      <c r="I11" s="16" t="n">
        <v>46339</v>
      </c>
      <c r="J11" s="21" t="inlineStr">
        <is>
          <t>Not Started</t>
        </is>
      </c>
      <c r="K11" s="25" t="n">
        <v>0</v>
      </c>
      <c r="L11" s="14" t="inlineStr">
        <is>
          <t>High</t>
        </is>
      </c>
      <c r="M11" s="14" t="inlineStr">
        <is>
          <t>T09</t>
        </is>
      </c>
      <c r="N11" s="21" t="n"/>
      <c r="O11" s="17" t="n"/>
      <c r="P11" s="21" t="n"/>
      <c r="Q11" s="21" t="n"/>
      <c r="R11" s="14">
        <f>IF(OR(I11="",J11="Done"),"",IF(I11&lt;TODAY(),"OVERDUE",""))</f>
        <v/>
      </c>
      <c r="S11" s="14" t="n"/>
    </row>
    <row r="12">
      <c r="A12" s="14" t="inlineStr">
        <is>
          <t>T11</t>
        </is>
      </c>
      <c r="B12" s="14" t="inlineStr">
        <is>
          <t>P1 Foundations</t>
        </is>
      </c>
      <c r="C12" s="14" t="inlineStr">
        <is>
          <t>L4–L6 Retrieval</t>
        </is>
      </c>
      <c r="D12" s="14" t="inlineStr">
        <is>
          <t>Query rewrite of bill-line terms (e.g. 'OT charges') into policy language</t>
        </is>
      </c>
      <c r="E12" s="14" t="inlineStr">
        <is>
          <t>Rewrite module + examples</t>
        </is>
      </c>
      <c r="F12" s="14" t="inlineStr">
        <is>
          <t>Knowledge &amp; Memory</t>
        </is>
      </c>
      <c r="G12" s="14">
        <f>IF(F12="","",IF(F12="All","Whole team",IFERROR(INDEX(Team!$B$5:$B$10,MATCH(F12,Team!$A$5:$A$10,0)),"")))</f>
        <v/>
      </c>
      <c r="H12" s="16" t="n">
        <v>46328</v>
      </c>
      <c r="I12" s="16" t="n">
        <v>46339</v>
      </c>
      <c r="J12" s="21" t="inlineStr">
        <is>
          <t>Not Started</t>
        </is>
      </c>
      <c r="K12" s="25" t="n">
        <v>0</v>
      </c>
      <c r="L12" s="14" t="inlineStr">
        <is>
          <t>Medium</t>
        </is>
      </c>
      <c r="M12" s="14" t="inlineStr">
        <is>
          <t>T10</t>
        </is>
      </c>
      <c r="N12" s="21" t="n"/>
      <c r="O12" s="17" t="n"/>
      <c r="P12" s="21" t="n"/>
      <c r="Q12" s="21" t="n"/>
      <c r="R12" s="14">
        <f>IF(OR(I12="",J12="Done"),"",IF(I12&lt;TODAY(),"OVERDUE",""))</f>
        <v/>
      </c>
      <c r="S12" s="14" t="n"/>
    </row>
    <row r="13">
      <c r="A13" s="14" t="inlineStr">
        <is>
          <t>T12</t>
        </is>
      </c>
      <c r="B13" s="14" t="inlineStr">
        <is>
          <t>P1 Foundations</t>
        </is>
      </c>
      <c r="C13" s="14" t="inlineStr">
        <is>
          <t>L4–L6 Retrieval</t>
        </is>
      </c>
      <c r="D13" s="14" t="inlineStr">
        <is>
          <t>Label 30+ retrieval queries; measure Recall@5 baseline</t>
        </is>
      </c>
      <c r="E13" s="14" t="inlineStr">
        <is>
          <t>Recall@5 baseline number</t>
        </is>
      </c>
      <c r="F13" s="14" t="inlineStr">
        <is>
          <t>Knowledge &amp; Memory</t>
        </is>
      </c>
      <c r="G13" s="14">
        <f>IF(F13="","",IF(F13="All","Whole team",IFERROR(INDEX(Team!$B$5:$B$10,MATCH(F13,Team!$A$5:$A$10,0)),"")))</f>
        <v/>
      </c>
      <c r="H13" s="16" t="n">
        <v>46328</v>
      </c>
      <c r="I13" s="16" t="n">
        <v>46339</v>
      </c>
      <c r="J13" s="21" t="inlineStr">
        <is>
          <t>Not Started</t>
        </is>
      </c>
      <c r="K13" s="25" t="n">
        <v>0</v>
      </c>
      <c r="L13" s="14" t="inlineStr">
        <is>
          <t>High</t>
        </is>
      </c>
      <c r="M13" s="14" t="inlineStr">
        <is>
          <t>T10</t>
        </is>
      </c>
      <c r="N13" s="21" t="n"/>
      <c r="O13" s="17" t="n"/>
      <c r="P13" s="21" t="n"/>
      <c r="Q13" s="21" t="n"/>
      <c r="R13" s="14">
        <f>IF(OR(I13="",J13="Done"),"",IF(I13&lt;TODAY(),"OVERDUE",""))</f>
        <v/>
      </c>
      <c r="S13" s="14" t="n"/>
    </row>
    <row r="14">
      <c r="A14" s="14" t="inlineStr">
        <is>
          <t>T13</t>
        </is>
      </c>
      <c r="B14" s="14" t="inlineStr">
        <is>
          <t>P1 Foundations</t>
        </is>
      </c>
      <c r="C14" s="14" t="inlineStr">
        <is>
          <t>Domain/Product</t>
        </is>
      </c>
      <c r="D14" s="14" t="inlineStr">
        <is>
          <t>Build tariff table: 30 procedures × 3 city tiers</t>
        </is>
      </c>
      <c r="E14" s="14" t="inlineStr">
        <is>
          <t>tariff.csv</t>
        </is>
      </c>
      <c r="F14" s="14" t="inlineStr">
        <is>
          <t>Domain &amp; Product Lead</t>
        </is>
      </c>
      <c r="G14" s="14">
        <f>IF(F14="","",IF(F14="All","Whole team",IFERROR(INDEX(Team!$B$5:$B$10,MATCH(F14,Team!$A$5:$A$10,0)),"")))</f>
        <v/>
      </c>
      <c r="H14" s="16" t="n">
        <v>46328</v>
      </c>
      <c r="I14" s="16" t="n">
        <v>46339</v>
      </c>
      <c r="J14" s="21" t="inlineStr">
        <is>
          <t>Not Started</t>
        </is>
      </c>
      <c r="K14" s="25" t="n">
        <v>0</v>
      </c>
      <c r="L14" s="14" t="inlineStr">
        <is>
          <t>High</t>
        </is>
      </c>
      <c r="M14" s="14" t="inlineStr"/>
      <c r="N14" s="21" t="n"/>
      <c r="O14" s="17" t="n"/>
      <c r="P14" s="21" t="n"/>
      <c r="Q14" s="21" t="n"/>
      <c r="R14" s="14">
        <f>IF(OR(I14="",J14="Done"),"",IF(I14&lt;TODAY(),"OVERDUE",""))</f>
        <v/>
      </c>
      <c r="S14" s="14" t="n"/>
    </row>
    <row r="15">
      <c r="A15" s="14" t="inlineStr">
        <is>
          <t>T14</t>
        </is>
      </c>
      <c r="B15" s="14" t="inlineStr">
        <is>
          <t>P1 Foundations</t>
        </is>
      </c>
      <c r="C15" s="14" t="inlineStr">
        <is>
          <t>Domain/Product</t>
        </is>
      </c>
      <c r="D15" s="14" t="inlineStr">
        <is>
          <t>Synthetic claim packet generator + 10 hand-edited packets (no real patient data)</t>
        </is>
      </c>
      <c r="E15" s="14" t="inlineStr">
        <is>
          <t>Packets in data/synthetic</t>
        </is>
      </c>
      <c r="F15" s="14" t="inlineStr">
        <is>
          <t>Domain &amp; Product Lead</t>
        </is>
      </c>
      <c r="G15" s="14">
        <f>IF(F15="","",IF(F15="All","Whole team",IFERROR(INDEX(Team!$B$5:$B$10,MATCH(F15,Team!$A$5:$A$10,0)),"")))</f>
        <v/>
      </c>
      <c r="H15" s="16" t="n">
        <v>46328</v>
      </c>
      <c r="I15" s="16" t="n">
        <v>46339</v>
      </c>
      <c r="J15" s="21" t="inlineStr">
        <is>
          <t>Not Started</t>
        </is>
      </c>
      <c r="K15" s="25" t="n">
        <v>0</v>
      </c>
      <c r="L15" s="14" t="inlineStr">
        <is>
          <t>High</t>
        </is>
      </c>
      <c r="M15" s="14" t="inlineStr">
        <is>
          <t>T06</t>
        </is>
      </c>
      <c r="N15" s="21" t="n"/>
      <c r="O15" s="17" t="n"/>
      <c r="P15" s="21" t="n"/>
      <c r="Q15" s="21" t="n"/>
      <c r="R15" s="14">
        <f>IF(OR(I15="",J15="Done"),"",IF(I15&lt;TODAY(),"OVERDUE",""))</f>
        <v/>
      </c>
      <c r="S15" s="14" t="n"/>
    </row>
    <row r="16">
      <c r="A16" s="14" t="inlineStr">
        <is>
          <t>T15</t>
        </is>
      </c>
      <c r="B16" s="14" t="inlineStr">
        <is>
          <t>P1 Foundations</t>
        </is>
      </c>
      <c r="C16" s="14" t="inlineStr">
        <is>
          <t>L7 Tools/MCP</t>
        </is>
      </c>
      <c r="D16" s="14" t="inlineStr">
        <is>
          <t>adjudication-calc: room cap, proportional cut, sub-limits, co-pay in plain Python + unit tests</t>
        </is>
      </c>
      <c r="E16" s="14" t="inlineStr">
        <is>
          <t>Calculator with passing tests (Signature A)</t>
        </is>
      </c>
      <c r="F16" s="14" t="inlineStr">
        <is>
          <t>Tools &amp; Security</t>
        </is>
      </c>
      <c r="G16" s="14">
        <f>IF(F16="","",IF(F16="All","Whole team",IFERROR(INDEX(Team!$B$5:$B$10,MATCH(F16,Team!$A$5:$A$10,0)),"")))</f>
        <v/>
      </c>
      <c r="H16" s="16" t="n">
        <v>46328</v>
      </c>
      <c r="I16" s="16" t="n">
        <v>46339</v>
      </c>
      <c r="J16" s="21" t="inlineStr">
        <is>
          <t>Not Started</t>
        </is>
      </c>
      <c r="K16" s="25" t="n">
        <v>0</v>
      </c>
      <c r="L16" s="14" t="inlineStr">
        <is>
          <t>Critical</t>
        </is>
      </c>
      <c r="M16" s="14" t="inlineStr">
        <is>
          <t>T06</t>
        </is>
      </c>
      <c r="N16" s="21" t="n"/>
      <c r="O16" s="17" t="n"/>
      <c r="P16" s="21" t="n"/>
      <c r="Q16" s="21" t="n"/>
      <c r="R16" s="14">
        <f>IF(OR(I16="",J16="Done"),"",IF(I16&lt;TODAY(),"OVERDUE",""))</f>
        <v/>
      </c>
      <c r="S16" s="14" t="n"/>
    </row>
    <row r="17">
      <c r="A17" s="14" t="inlineStr">
        <is>
          <t>T16</t>
        </is>
      </c>
      <c r="B17" s="14" t="inlineStr">
        <is>
          <t>P1 Foundations</t>
        </is>
      </c>
      <c r="C17" s="14" t="inlineStr">
        <is>
          <t>L7 Tools/MCP</t>
        </is>
      </c>
      <c r="D17" s="14" t="inlineStr">
        <is>
          <t>policy-kb MCP server (search wording, get clause)</t>
        </is>
      </c>
      <c r="E17" s="14" t="inlineStr">
        <is>
          <t>Tool schema + 1 test</t>
        </is>
      </c>
      <c r="F17" s="14" t="inlineStr">
        <is>
          <t>Tools &amp; Security</t>
        </is>
      </c>
      <c r="G17" s="14">
        <f>IF(F17="","",IF(F17="All","Whole team",IFERROR(INDEX(Team!$B$5:$B$10,MATCH(F17,Team!$A$5:$A$10,0)),"")))</f>
        <v/>
      </c>
      <c r="H17" s="16" t="n">
        <v>46328</v>
      </c>
      <c r="I17" s="16" t="n">
        <v>46339</v>
      </c>
      <c r="J17" s="21" t="inlineStr">
        <is>
          <t>Not Started</t>
        </is>
      </c>
      <c r="K17" s="25" t="n">
        <v>0</v>
      </c>
      <c r="L17" s="14" t="inlineStr">
        <is>
          <t>High</t>
        </is>
      </c>
      <c r="M17" s="14" t="inlineStr">
        <is>
          <t>T10</t>
        </is>
      </c>
      <c r="N17" s="21" t="n"/>
      <c r="O17" s="17" t="n"/>
      <c r="P17" s="21" t="n"/>
      <c r="Q17" s="21" t="n"/>
      <c r="R17" s="14">
        <f>IF(OR(I17="",J17="Done"),"",IF(I17&lt;TODAY(),"OVERDUE",""))</f>
        <v/>
      </c>
      <c r="S17" s="14" t="n"/>
    </row>
    <row r="18">
      <c r="A18" s="14" t="inlineStr">
        <is>
          <t>T17</t>
        </is>
      </c>
      <c r="B18" s="14" t="inlineStr">
        <is>
          <t>P1 Foundations</t>
        </is>
      </c>
      <c r="C18" s="14" t="inlineStr">
        <is>
          <t>L7 Tools/MCP</t>
        </is>
      </c>
      <c r="D18" s="14" t="inlineStr">
        <is>
          <t>tariff MCP server (expected range per procedure + tier)</t>
        </is>
      </c>
      <c r="E18" s="14" t="inlineStr">
        <is>
          <t>Tool schema + 1 test</t>
        </is>
      </c>
      <c r="F18" s="14" t="inlineStr">
        <is>
          <t>Tools &amp; Security</t>
        </is>
      </c>
      <c r="G18" s="14">
        <f>IF(F18="","",IF(F18="All","Whole team",IFERROR(INDEX(Team!$B$5:$B$10,MATCH(F18,Team!$A$5:$A$10,0)),"")))</f>
        <v/>
      </c>
      <c r="H18" s="16" t="n">
        <v>46328</v>
      </c>
      <c r="I18" s="16" t="n">
        <v>46339</v>
      </c>
      <c r="J18" s="21" t="inlineStr">
        <is>
          <t>Not Started</t>
        </is>
      </c>
      <c r="K18" s="25" t="n">
        <v>0</v>
      </c>
      <c r="L18" s="14" t="inlineStr">
        <is>
          <t>Medium</t>
        </is>
      </c>
      <c r="M18" s="14" t="inlineStr">
        <is>
          <t>T13</t>
        </is>
      </c>
      <c r="N18" s="21" t="n"/>
      <c r="O18" s="17" t="n"/>
      <c r="P18" s="21" t="n"/>
      <c r="Q18" s="21" t="n"/>
      <c r="R18" s="14">
        <f>IF(OR(I18="",J18="Done"),"",IF(I18&lt;TODAY(),"OVERDUE",""))</f>
        <v/>
      </c>
      <c r="S18" s="14" t="n"/>
    </row>
    <row r="19">
      <c r="A19" s="14" t="inlineStr">
        <is>
          <t>T18</t>
        </is>
      </c>
      <c r="B19" s="14" t="inlineStr">
        <is>
          <t>P1 Foundations</t>
        </is>
      </c>
      <c r="C19" s="14" t="inlineStr">
        <is>
          <t>L7 Tools/MCP</t>
        </is>
      </c>
      <c r="D19" s="14" t="inlineStr">
        <is>
          <t>claims-db MCP server + schema (history read; settle_claim write behind gate)</t>
        </is>
      </c>
      <c r="E19" s="14" t="inlineStr">
        <is>
          <t>Tool schema + 1 test</t>
        </is>
      </c>
      <c r="F19" s="14" t="inlineStr">
        <is>
          <t>Tools &amp; Security</t>
        </is>
      </c>
      <c r="G19" s="14">
        <f>IF(F19="","",IF(F19="All","Whole team",IFERROR(INDEX(Team!$B$5:$B$10,MATCH(F19,Team!$A$5:$A$10,0)),"")))</f>
        <v/>
      </c>
      <c r="H19" s="16" t="n">
        <v>46328</v>
      </c>
      <c r="I19" s="16" t="n">
        <v>46339</v>
      </c>
      <c r="J19" s="21" t="inlineStr">
        <is>
          <t>Not Started</t>
        </is>
      </c>
      <c r="K19" s="25" t="n">
        <v>0</v>
      </c>
      <c r="L19" s="14" t="inlineStr">
        <is>
          <t>High</t>
        </is>
      </c>
      <c r="M19" s="14" t="inlineStr"/>
      <c r="N19" s="21" t="n"/>
      <c r="O19" s="17" t="n"/>
      <c r="P19" s="21" t="n"/>
      <c r="Q19" s="21" t="n"/>
      <c r="R19" s="14">
        <f>IF(OR(I19="",J19="Done"),"",IF(I19&lt;TODAY(),"OVERDUE",""))</f>
        <v/>
      </c>
      <c r="S19" s="14" t="n"/>
    </row>
    <row r="20">
      <c r="A20" s="14" t="inlineStr">
        <is>
          <t>T19</t>
        </is>
      </c>
      <c r="B20" s="14" t="inlineStr">
        <is>
          <t>P1 Foundations</t>
        </is>
      </c>
      <c r="C20" s="14" t="inlineStr">
        <is>
          <t>L16 Deployment</t>
        </is>
      </c>
      <c r="D20" s="14" t="inlineStr">
        <is>
          <t>Docker Compose skeleton: app, MCP servers, vector store, Prometheus, Grafana</t>
        </is>
      </c>
      <c r="E20" s="14" t="inlineStr">
        <is>
          <t>docker compose up works</t>
        </is>
      </c>
      <c r="F20" s="14" t="inlineStr">
        <is>
          <t>Deploy &amp; Ops</t>
        </is>
      </c>
      <c r="G20" s="14">
        <f>IF(F20="","",IF(F20="All","Whole team",IFERROR(INDEX(Team!$B$5:$B$10,MATCH(F20,Team!$A$5:$A$10,0)),"")))</f>
        <v/>
      </c>
      <c r="H20" s="16" t="n">
        <v>46328</v>
      </c>
      <c r="I20" s="16" t="n">
        <v>46339</v>
      </c>
      <c r="J20" s="21" t="inlineStr">
        <is>
          <t>Not Started</t>
        </is>
      </c>
      <c r="K20" s="25" t="n">
        <v>0</v>
      </c>
      <c r="L20" s="14" t="inlineStr">
        <is>
          <t>High</t>
        </is>
      </c>
      <c r="M20" s="14" t="inlineStr"/>
      <c r="N20" s="21" t="n"/>
      <c r="O20" s="17" t="n"/>
      <c r="P20" s="21" t="n"/>
      <c r="Q20" s="21" t="n"/>
      <c r="R20" s="14">
        <f>IF(OR(I20="",J20="Done"),"",IF(I20&lt;TODAY(),"OVERDUE",""))</f>
        <v/>
      </c>
      <c r="S20" s="14" t="n"/>
    </row>
    <row r="21">
      <c r="A21" s="14" t="inlineStr">
        <is>
          <t>T20</t>
        </is>
      </c>
      <c r="B21" s="14" t="inlineStr">
        <is>
          <t>P1 Foundations</t>
        </is>
      </c>
      <c r="C21" s="14" t="inlineStr">
        <is>
          <t>L16 Deployment</t>
        </is>
      </c>
      <c r="D21" s="14" t="inlineStr">
        <is>
          <t>One versioned config for prompts and model IDs</t>
        </is>
      </c>
      <c r="E21" s="14" t="inlineStr">
        <is>
          <t>config/ file</t>
        </is>
      </c>
      <c r="F21" s="14" t="inlineStr">
        <is>
          <t>Deploy &amp; Ops</t>
        </is>
      </c>
      <c r="G21" s="14">
        <f>IF(F21="","",IF(F21="All","Whole team",IFERROR(INDEX(Team!$B$5:$B$10,MATCH(F21,Team!$A$5:$A$10,0)),"")))</f>
        <v/>
      </c>
      <c r="H21" s="16" t="n">
        <v>46328</v>
      </c>
      <c r="I21" s="16" t="n">
        <v>46339</v>
      </c>
      <c r="J21" s="21" t="inlineStr">
        <is>
          <t>Not Started</t>
        </is>
      </c>
      <c r="K21" s="25" t="n">
        <v>0</v>
      </c>
      <c r="L21" s="14" t="inlineStr">
        <is>
          <t>Medium</t>
        </is>
      </c>
      <c r="M21" s="14" t="inlineStr"/>
      <c r="N21" s="21" t="n"/>
      <c r="O21" s="17" t="n"/>
      <c r="P21" s="21" t="n"/>
      <c r="Q21" s="21" t="n"/>
      <c r="R21" s="14">
        <f>IF(OR(I21="",J21="Done"),"",IF(I21&lt;TODAY(),"OVERDUE",""))</f>
        <v/>
      </c>
      <c r="S21" s="14" t="n"/>
    </row>
    <row r="22">
      <c r="A22" s="14" t="inlineStr">
        <is>
          <t>T21</t>
        </is>
      </c>
      <c r="B22" s="14" t="inlineStr">
        <is>
          <t>P1 Foundations</t>
        </is>
      </c>
      <c r="C22" s="14" t="inlineStr">
        <is>
          <t>L13 Evaluation</t>
        </is>
      </c>
      <c r="D22" s="14" t="inlineStr">
        <is>
          <t>Tracing (Langfuse/LangSmith) with health data masked</t>
        </is>
      </c>
      <c r="E22" s="14" t="inlineStr">
        <is>
          <t>Trace screenshot (masked)</t>
        </is>
      </c>
      <c r="F22" s="14" t="inlineStr">
        <is>
          <t>Deploy &amp; Ops</t>
        </is>
      </c>
      <c r="G22" s="14">
        <f>IF(F22="","",IF(F22="All","Whole team",IFERROR(INDEX(Team!$B$5:$B$10,MATCH(F22,Team!$A$5:$A$10,0)),"")))</f>
        <v/>
      </c>
      <c r="H22" s="16" t="n">
        <v>46328</v>
      </c>
      <c r="I22" s="16" t="n">
        <v>46339</v>
      </c>
      <c r="J22" s="21" t="inlineStr">
        <is>
          <t>Not Started</t>
        </is>
      </c>
      <c r="K22" s="25" t="n">
        <v>0</v>
      </c>
      <c r="L22" s="14" t="inlineStr">
        <is>
          <t>Medium</t>
        </is>
      </c>
      <c r="M22" s="14" t="inlineStr">
        <is>
          <t>T19</t>
        </is>
      </c>
      <c r="N22" s="21" t="n"/>
      <c r="O22" s="17" t="n"/>
      <c r="P22" s="21" t="n"/>
      <c r="Q22" s="21" t="n"/>
      <c r="R22" s="14">
        <f>IF(OR(I22="",J22="Done"),"",IF(I22&lt;TODAY(),"OVERDUE",""))</f>
        <v/>
      </c>
      <c r="S22" s="14" t="n"/>
    </row>
    <row r="23">
      <c r="A23" s="14" t="inlineStr">
        <is>
          <t>T22</t>
        </is>
      </c>
      <c r="B23" s="14" t="inlineStr">
        <is>
          <t>P1 Foundations</t>
        </is>
      </c>
      <c r="C23" s="14" t="inlineStr">
        <is>
          <t>L13 Evaluation</t>
        </is>
      </c>
      <c r="D23" s="14" t="inlineStr">
        <is>
          <t>Golden-set spec: 80 claims, case mix, ~20 dev / 60 held-out split</t>
        </is>
      </c>
      <c r="E23" s="14" t="inlineStr">
        <is>
          <t>Golden-set plan doc</t>
        </is>
      </c>
      <c r="F23" s="14" t="inlineStr">
        <is>
          <t>Eval &amp; Red-Team</t>
        </is>
      </c>
      <c r="G23" s="14">
        <f>IF(F23="","",IF(F23="All","Whole team",IFERROR(INDEX(Team!$B$5:$B$10,MATCH(F23,Team!$A$5:$A$10,0)),"")))</f>
        <v/>
      </c>
      <c r="H23" s="16" t="n">
        <v>46328</v>
      </c>
      <c r="I23" s="16" t="n">
        <v>46339</v>
      </c>
      <c r="J23" s="21" t="inlineStr">
        <is>
          <t>Not Started</t>
        </is>
      </c>
      <c r="K23" s="25" t="n">
        <v>0</v>
      </c>
      <c r="L23" s="14" t="inlineStr">
        <is>
          <t>High</t>
        </is>
      </c>
      <c r="M23" s="14" t="inlineStr"/>
      <c r="N23" s="21" t="n"/>
      <c r="O23" s="17" t="n"/>
      <c r="P23" s="21" t="n"/>
      <c r="Q23" s="21" t="n"/>
      <c r="R23" s="14">
        <f>IF(OR(I23="",J23="Done"),"",IF(I23&lt;TODAY(),"OVERDUE",""))</f>
        <v/>
      </c>
      <c r="S23" s="14" t="n"/>
    </row>
    <row r="24">
      <c r="A24" s="14" t="inlineStr">
        <is>
          <t>T23</t>
        </is>
      </c>
      <c r="B24" s="14" t="inlineStr">
        <is>
          <t>P2 Minimum Bar End-to-End</t>
        </is>
      </c>
      <c r="C24" s="14" t="inlineStr">
        <is>
          <t>L8 Orchestration</t>
        </is>
      </c>
      <c r="D24" s="14" t="inlineStr">
        <is>
          <t>LangGraph graph: typed state, conditional edges, persistent checkpointer; stop + resume</t>
        </is>
      </c>
      <c r="E24" s="14" t="inlineStr">
        <is>
          <t>Graph diagram + resume demo</t>
        </is>
      </c>
      <c r="F24" s="14" t="inlineStr">
        <is>
          <t>Agents &amp; Orchestration</t>
        </is>
      </c>
      <c r="G24" s="14">
        <f>IF(F24="","",IF(F24="All","Whole team",IFERROR(INDEX(Team!$B$5:$B$10,MATCH(F24,Team!$A$5:$A$10,0)),"")))</f>
        <v/>
      </c>
      <c r="H24" s="16" t="n">
        <v>46342</v>
      </c>
      <c r="I24" s="16" t="n">
        <v>46353</v>
      </c>
      <c r="J24" s="21" t="inlineStr">
        <is>
          <t>Not Started</t>
        </is>
      </c>
      <c r="K24" s="25" t="n">
        <v>0</v>
      </c>
      <c r="L24" s="14" t="inlineStr">
        <is>
          <t>Critical</t>
        </is>
      </c>
      <c r="M24" s="14" t="inlineStr"/>
      <c r="N24" s="21" t="n"/>
      <c r="O24" s="17" t="n"/>
      <c r="P24" s="21" t="n"/>
      <c r="Q24" s="21" t="n"/>
      <c r="R24" s="14">
        <f>IF(OR(I24="",J24="Done"),"",IF(I24&lt;TODAY(),"OVERDUE",""))</f>
        <v/>
      </c>
      <c r="S24" s="14" t="n"/>
    </row>
    <row r="25">
      <c r="A25" s="14" t="inlineStr">
        <is>
          <t>T24</t>
        </is>
      </c>
      <c r="B25" s="14" t="inlineStr">
        <is>
          <t>P2 Minimum Bar End-to-End</t>
        </is>
      </c>
      <c r="C25" s="14" t="inlineStr">
        <is>
          <t>L10 Planning</t>
        </is>
      </c>
      <c r="D25" s="14" t="inlineStr">
        <is>
          <t>Planner: show plan object; replan when a tool result contradicts it</t>
        </is>
      </c>
      <c r="E25" s="14" t="inlineStr">
        <is>
          <t>Trace showing a replan</t>
        </is>
      </c>
      <c r="F25" s="14" t="inlineStr">
        <is>
          <t>Agents &amp; Orchestration</t>
        </is>
      </c>
      <c r="G25" s="14">
        <f>IF(F25="","",IF(F25="All","Whole team",IFERROR(INDEX(Team!$B$5:$B$10,MATCH(F25,Team!$A$5:$A$10,0)),"")))</f>
        <v/>
      </c>
      <c r="H25" s="16" t="n">
        <v>46342</v>
      </c>
      <c r="I25" s="16" t="n">
        <v>46353</v>
      </c>
      <c r="J25" s="21" t="inlineStr">
        <is>
          <t>Not Started</t>
        </is>
      </c>
      <c r="K25" s="25" t="n">
        <v>0</v>
      </c>
      <c r="L25" s="14" t="inlineStr">
        <is>
          <t>High</t>
        </is>
      </c>
      <c r="M25" s="14" t="inlineStr">
        <is>
          <t>T23</t>
        </is>
      </c>
      <c r="N25" s="21" t="n"/>
      <c r="O25" s="17" t="n"/>
      <c r="P25" s="21" t="n"/>
      <c r="Q25" s="21" t="n"/>
      <c r="R25" s="14">
        <f>IF(OR(I25="",J25="Done"),"",IF(I25&lt;TODAY(),"OVERDUE",""))</f>
        <v/>
      </c>
      <c r="S25" s="14" t="n"/>
    </row>
    <row r="26">
      <c r="A26" s="14" t="inlineStr">
        <is>
          <t>T25</t>
        </is>
      </c>
      <c r="B26" s="14" t="inlineStr">
        <is>
          <t>P2 Minimum Bar End-to-End</t>
        </is>
      </c>
      <c r="C26" s="14" t="inlineStr">
        <is>
          <t>L11 Multi-agent</t>
        </is>
      </c>
      <c r="D26" s="14" t="inlineStr">
        <is>
          <t>Extraction agent: typed fields + every bill line with source spans</t>
        </is>
      </c>
      <c r="E26" s="14" t="inlineStr">
        <is>
          <t>Extraction output on 10 packets</t>
        </is>
      </c>
      <c r="F26" s="14" t="inlineStr">
        <is>
          <t>Agents &amp; Orchestration</t>
        </is>
      </c>
      <c r="G26" s="14">
        <f>IF(F26="","",IF(F26="All","Whole team",IFERROR(INDEX(Team!$B$5:$B$10,MATCH(F26,Team!$A$5:$A$10,0)),"")))</f>
        <v/>
      </c>
      <c r="H26" s="16" t="n">
        <v>46342</v>
      </c>
      <c r="I26" s="16" t="n">
        <v>46353</v>
      </c>
      <c r="J26" s="21" t="inlineStr">
        <is>
          <t>Not Started</t>
        </is>
      </c>
      <c r="K26" s="25" t="n">
        <v>0</v>
      </c>
      <c r="L26" s="14" t="inlineStr">
        <is>
          <t>High</t>
        </is>
      </c>
      <c r="M26" s="14" t="inlineStr">
        <is>
          <t>T14</t>
        </is>
      </c>
      <c r="N26" s="21" t="n"/>
      <c r="O26" s="17" t="n"/>
      <c r="P26" s="21" t="n"/>
      <c r="Q26" s="21" t="n"/>
      <c r="R26" s="14">
        <f>IF(OR(I26="",J26="Done"),"",IF(I26&lt;TODAY(),"OVERDUE",""))</f>
        <v/>
      </c>
      <c r="S26" s="14" t="n"/>
    </row>
    <row r="27">
      <c r="A27" s="14" t="inlineStr">
        <is>
          <t>T26</t>
        </is>
      </c>
      <c r="B27" s="14" t="inlineStr">
        <is>
          <t>P2 Minimum Bar End-to-End</t>
        </is>
      </c>
      <c r="C27" s="14" t="inlineStr">
        <is>
          <t>L11 Multi-agent</t>
        </is>
      </c>
      <c r="D27" s="14" t="inlineStr">
        <is>
          <t>Coverage analyst: clause per line, calls calculator (model picks clause, code computes ₹)</t>
        </is>
      </c>
      <c r="E27" s="14" t="inlineStr">
        <is>
          <t>Worksheet output</t>
        </is>
      </c>
      <c r="F27" s="14" t="inlineStr">
        <is>
          <t>Agents &amp; Orchestration</t>
        </is>
      </c>
      <c r="G27" s="14">
        <f>IF(F27="","",IF(F27="All","Whole team",IFERROR(INDEX(Team!$B$5:$B$10,MATCH(F27,Team!$A$5:$A$10,0)),"")))</f>
        <v/>
      </c>
      <c r="H27" s="16" t="n">
        <v>46342</v>
      </c>
      <c r="I27" s="16" t="n">
        <v>46353</v>
      </c>
      <c r="J27" s="21" t="inlineStr">
        <is>
          <t>Not Started</t>
        </is>
      </c>
      <c r="K27" s="25" t="n">
        <v>0</v>
      </c>
      <c r="L27" s="14" t="inlineStr">
        <is>
          <t>Critical</t>
        </is>
      </c>
      <c r="M27" s="14" t="inlineStr">
        <is>
          <t>T15,T16</t>
        </is>
      </c>
      <c r="N27" s="21" t="n"/>
      <c r="O27" s="17" t="n"/>
      <c r="P27" s="21" t="n"/>
      <c r="Q27" s="21" t="n"/>
      <c r="R27" s="14">
        <f>IF(OR(I27="",J27="Done"),"",IF(I27&lt;TODAY(),"OVERDUE",""))</f>
        <v/>
      </c>
      <c r="S27" s="14" t="n"/>
    </row>
    <row r="28">
      <c r="A28" s="14" t="inlineStr">
        <is>
          <t>T27</t>
        </is>
      </c>
      <c r="B28" s="14" t="inlineStr">
        <is>
          <t>P2 Minimum Bar End-to-End</t>
        </is>
      </c>
      <c r="C28" s="14" t="inlineStr">
        <is>
          <t>L11 Multi-agent</t>
        </is>
      </c>
      <c r="D28" s="14" t="inlineStr">
        <is>
          <t>Fraud analyst: duplicates, tariff outliers, date checks</t>
        </is>
      </c>
      <c r="E28" s="14" t="inlineStr">
        <is>
          <t>Fraud flags on test packets</t>
        </is>
      </c>
      <c r="F28" s="14" t="inlineStr">
        <is>
          <t>Agents &amp; Orchestration</t>
        </is>
      </c>
      <c r="G28" s="14">
        <f>IF(F28="","",IF(F28="All","Whole team",IFERROR(INDEX(Team!$B$5:$B$10,MATCH(F28,Team!$A$5:$A$10,0)),"")))</f>
        <v/>
      </c>
      <c r="H28" s="16" t="n">
        <v>46342</v>
      </c>
      <c r="I28" s="16" t="n">
        <v>46353</v>
      </c>
      <c r="J28" s="21" t="inlineStr">
        <is>
          <t>Not Started</t>
        </is>
      </c>
      <c r="K28" s="25" t="n">
        <v>0</v>
      </c>
      <c r="L28" s="14" t="inlineStr">
        <is>
          <t>Medium</t>
        </is>
      </c>
      <c r="M28" s="14" t="inlineStr">
        <is>
          <t>T17,T18</t>
        </is>
      </c>
      <c r="N28" s="21" t="n"/>
      <c r="O28" s="17" t="n"/>
      <c r="P28" s="21" t="n"/>
      <c r="Q28" s="21" t="n"/>
      <c r="R28" s="14">
        <f>IF(OR(I28="",J28="Done"),"",IF(I28&lt;TODAY(),"OVERDUE",""))</f>
        <v/>
      </c>
      <c r="S28" s="14" t="n"/>
    </row>
    <row r="29">
      <c r="A29" s="14" t="inlineStr">
        <is>
          <t>T28</t>
        </is>
      </c>
      <c r="B29" s="14" t="inlineStr">
        <is>
          <t>P2 Minimum Bar End-to-End</t>
        </is>
      </c>
      <c r="C29" s="14" t="inlineStr">
        <is>
          <t>L11 Multi-agent</t>
        </is>
      </c>
      <c r="D29" s="14" t="inlineStr">
        <is>
          <t>Critic agent + one-revision loop (re-run calc, check citations)</t>
        </is>
      </c>
      <c r="E29" s="14" t="inlineStr">
        <is>
          <t>Critic rejection trace</t>
        </is>
      </c>
      <c r="F29" s="14" t="inlineStr">
        <is>
          <t>Agents &amp; Orchestration</t>
        </is>
      </c>
      <c r="G29" s="14">
        <f>IF(F29="","",IF(F29="All","Whole team",IFERROR(INDEX(Team!$B$5:$B$10,MATCH(F29,Team!$A$5:$A$10,0)),"")))</f>
        <v/>
      </c>
      <c r="H29" s="16" t="n">
        <v>46342</v>
      </c>
      <c r="I29" s="16" t="n">
        <v>46353</v>
      </c>
      <c r="J29" s="21" t="inlineStr">
        <is>
          <t>Not Started</t>
        </is>
      </c>
      <c r="K29" s="25" t="n">
        <v>0</v>
      </c>
      <c r="L29" s="14" t="inlineStr">
        <is>
          <t>High</t>
        </is>
      </c>
      <c r="M29" s="14" t="inlineStr">
        <is>
          <t>T26</t>
        </is>
      </c>
      <c r="N29" s="21" t="n"/>
      <c r="O29" s="17" t="n"/>
      <c r="P29" s="21" t="n"/>
      <c r="Q29" s="21" t="n"/>
      <c r="R29" s="14">
        <f>IF(OR(I29="",J29="Done"),"",IF(I29&lt;TODAY(),"OVERDUE",""))</f>
        <v/>
      </c>
      <c r="S29" s="14" t="n"/>
    </row>
    <row r="30">
      <c r="A30" s="14" t="inlineStr">
        <is>
          <t>T29</t>
        </is>
      </c>
      <c r="B30" s="14" t="inlineStr">
        <is>
          <t>P2 Minimum Bar End-to-End</t>
        </is>
      </c>
      <c r="C30" s="14" t="inlineStr">
        <is>
          <t>L11 Multi-agent</t>
        </is>
      </c>
      <c r="D30" s="14" t="inlineStr">
        <is>
          <t>Settlement agent + letter with reason per deduction</t>
        </is>
      </c>
      <c r="E30" s="14" t="inlineStr">
        <is>
          <t>Sample letter</t>
        </is>
      </c>
      <c r="F30" s="14" t="inlineStr">
        <is>
          <t>Agents &amp; Orchestration</t>
        </is>
      </c>
      <c r="G30" s="14">
        <f>IF(F30="","",IF(F30="All","Whole team",IFERROR(INDEX(Team!$B$5:$B$10,MATCH(F30,Team!$A$5:$A$10,0)),"")))</f>
        <v/>
      </c>
      <c r="H30" s="16" t="n">
        <v>46342</v>
      </c>
      <c r="I30" s="16" t="n">
        <v>46353</v>
      </c>
      <c r="J30" s="21" t="inlineStr">
        <is>
          <t>Not Started</t>
        </is>
      </c>
      <c r="K30" s="25" t="n">
        <v>0</v>
      </c>
      <c r="L30" s="14" t="inlineStr">
        <is>
          <t>Medium</t>
        </is>
      </c>
      <c r="M30" s="14" t="inlineStr">
        <is>
          <t>T34</t>
        </is>
      </c>
      <c r="N30" s="21" t="n"/>
      <c r="O30" s="17" t="n"/>
      <c r="P30" s="21" t="n"/>
      <c r="Q30" s="21" t="n"/>
      <c r="R30" s="14">
        <f>IF(OR(I30="",J30="Done"),"",IF(I30&lt;TODAY(),"OVERDUE",""))</f>
        <v/>
      </c>
      <c r="S30" s="14" t="n"/>
    </row>
    <row r="31">
      <c r="A31" s="14" t="inlineStr">
        <is>
          <t>T30</t>
        </is>
      </c>
      <c r="B31" s="14" t="inlineStr">
        <is>
          <t>P2 Minimum Bar End-to-End</t>
        </is>
      </c>
      <c r="C31" s="14" t="inlineStr">
        <is>
          <t>L11 Multi-agent</t>
        </is>
      </c>
      <c r="D31" s="14" t="inlineStr">
        <is>
          <t>Single-agent baseline with same tools and budget</t>
        </is>
      </c>
      <c r="E31" s="14" t="inlineStr">
        <is>
          <t>Baseline runnable</t>
        </is>
      </c>
      <c r="F31" s="14" t="inlineStr">
        <is>
          <t>Agents &amp; Orchestration</t>
        </is>
      </c>
      <c r="G31" s="14">
        <f>IF(F31="","",IF(F31="All","Whole team",IFERROR(INDEX(Team!$B$5:$B$10,MATCH(F31,Team!$A$5:$A$10,0)),"")))</f>
        <v/>
      </c>
      <c r="H31" s="16" t="n">
        <v>46342</v>
      </c>
      <c r="I31" s="16" t="n">
        <v>46353</v>
      </c>
      <c r="J31" s="21" t="inlineStr">
        <is>
          <t>Not Started</t>
        </is>
      </c>
      <c r="K31" s="25" t="n">
        <v>0</v>
      </c>
      <c r="L31" s="14" t="inlineStr">
        <is>
          <t>High</t>
        </is>
      </c>
      <c r="M31" s="14" t="inlineStr">
        <is>
          <t>T26</t>
        </is>
      </c>
      <c r="N31" s="21" t="n"/>
      <c r="O31" s="17" t="n"/>
      <c r="P31" s="21" t="n"/>
      <c r="Q31" s="21" t="n"/>
      <c r="R31" s="14">
        <f>IF(OR(I31="",J31="Done"),"",IF(I31&lt;TODAY(),"OVERDUE",""))</f>
        <v/>
      </c>
      <c r="S31" s="14" t="n"/>
    </row>
    <row r="32">
      <c r="A32" s="14" t="inlineStr">
        <is>
          <t>T31</t>
        </is>
      </c>
      <c r="B32" s="14" t="inlineStr">
        <is>
          <t>P2 Minimum Bar End-to-End</t>
        </is>
      </c>
      <c r="C32" s="14" t="inlineStr">
        <is>
          <t>L9 Memory</t>
        </is>
      </c>
      <c r="D32" s="14" t="inlineStr">
        <is>
          <t>Claim history per policy (sub-limits used, bills seen) + memory policy page</t>
        </is>
      </c>
      <c r="E32" s="14" t="inlineStr">
        <is>
          <t>Memory policy (1 page)</t>
        </is>
      </c>
      <c r="F32" s="14" t="inlineStr">
        <is>
          <t>Knowledge &amp; Memory</t>
        </is>
      </c>
      <c r="G32" s="14">
        <f>IF(F32="","",IF(F32="All","Whole team",IFERROR(INDEX(Team!$B$5:$B$10,MATCH(F32,Team!$A$5:$A$10,0)),"")))</f>
        <v/>
      </c>
      <c r="H32" s="16" t="n">
        <v>46342</v>
      </c>
      <c r="I32" s="16" t="n">
        <v>46353</v>
      </c>
      <c r="J32" s="21" t="inlineStr">
        <is>
          <t>Not Started</t>
        </is>
      </c>
      <c r="K32" s="25" t="n">
        <v>0</v>
      </c>
      <c r="L32" s="14" t="inlineStr">
        <is>
          <t>High</t>
        </is>
      </c>
      <c r="M32" s="14" t="inlineStr">
        <is>
          <t>T18</t>
        </is>
      </c>
      <c r="N32" s="21" t="n"/>
      <c r="O32" s="17" t="n"/>
      <c r="P32" s="21" t="n"/>
      <c r="Q32" s="21" t="n"/>
      <c r="R32" s="14">
        <f>IF(OR(I32="",J32="Done"),"",IF(I32&lt;TODAY(),"OVERDUE",""))</f>
        <v/>
      </c>
      <c r="S32" s="14" t="n"/>
    </row>
    <row r="33">
      <c r="A33" s="14" t="inlineStr">
        <is>
          <t>T32</t>
        </is>
      </c>
      <c r="B33" s="14" t="inlineStr">
        <is>
          <t>P2 Minimum Bar End-to-End</t>
        </is>
      </c>
      <c r="C33" s="14" t="inlineStr">
        <is>
          <t>L9 Memory</t>
        </is>
      </c>
      <c r="D33" s="14" t="inlineStr">
        <is>
          <t>Short-term context trimming/summarising</t>
        </is>
      </c>
      <c r="E33" s="14" t="inlineStr">
        <is>
          <t>Config + test</t>
        </is>
      </c>
      <c r="F33" s="14" t="inlineStr">
        <is>
          <t>Knowledge &amp; Memory</t>
        </is>
      </c>
      <c r="G33" s="14">
        <f>IF(F33="","",IF(F33="All","Whole team",IFERROR(INDEX(Team!$B$5:$B$10,MATCH(F33,Team!$A$5:$A$10,0)),"")))</f>
        <v/>
      </c>
      <c r="H33" s="16" t="n">
        <v>46342</v>
      </c>
      <c r="I33" s="16" t="n">
        <v>46353</v>
      </c>
      <c r="J33" s="21" t="inlineStr">
        <is>
          <t>Not Started</t>
        </is>
      </c>
      <c r="K33" s="25" t="n">
        <v>0</v>
      </c>
      <c r="L33" s="14" t="inlineStr">
        <is>
          <t>Medium</t>
        </is>
      </c>
      <c r="M33" s="14" t="inlineStr">
        <is>
          <t>T23</t>
        </is>
      </c>
      <c r="N33" s="21" t="n"/>
      <c r="O33" s="17" t="n"/>
      <c r="P33" s="21" t="n"/>
      <c r="Q33" s="21" t="n"/>
      <c r="R33" s="14">
        <f>IF(OR(I33="",J33="Done"),"",IF(I33&lt;TODAY(),"OVERDUE",""))</f>
        <v/>
      </c>
      <c r="S33" s="14" t="n"/>
    </row>
    <row r="34">
      <c r="A34" s="14" t="inlineStr">
        <is>
          <t>T33</t>
        </is>
      </c>
      <c r="B34" s="14" t="inlineStr">
        <is>
          <t>P2 Minimum Bar End-to-End</t>
        </is>
      </c>
      <c r="C34" s="14" t="inlineStr">
        <is>
          <t>L14 Human control</t>
        </is>
      </c>
      <c r="D34" s="14" t="inlineStr">
        <is>
          <t>Hooks: pre-tool permission + budget; post-tool log + scrub</t>
        </is>
      </c>
      <c r="E34" s="14" t="inlineStr">
        <is>
          <t>Hook tests</t>
        </is>
      </c>
      <c r="F34" s="14" t="inlineStr">
        <is>
          <t>Tools &amp; Security</t>
        </is>
      </c>
      <c r="G34" s="14">
        <f>IF(F34="","",IF(F34="All","Whole team",IFERROR(INDEX(Team!$B$5:$B$10,MATCH(F34,Team!$A$5:$A$10,0)),"")))</f>
        <v/>
      </c>
      <c r="H34" s="16" t="n">
        <v>46342</v>
      </c>
      <c r="I34" s="16" t="n">
        <v>46353</v>
      </c>
      <c r="J34" s="21" t="inlineStr">
        <is>
          <t>Not Started</t>
        </is>
      </c>
      <c r="K34" s="25" t="n">
        <v>0</v>
      </c>
      <c r="L34" s="14" t="inlineStr">
        <is>
          <t>High</t>
        </is>
      </c>
      <c r="M34" s="14" t="inlineStr"/>
      <c r="N34" s="21" t="n"/>
      <c r="O34" s="17" t="n"/>
      <c r="P34" s="21" t="n"/>
      <c r="Q34" s="21" t="n"/>
      <c r="R34" s="14">
        <f>IF(OR(I34="",J34="Done"),"",IF(I34&lt;TODAY(),"OVERDUE",""))</f>
        <v/>
      </c>
      <c r="S34" s="14" t="n"/>
    </row>
    <row r="35">
      <c r="A35" s="14" t="inlineStr">
        <is>
          <t>T34</t>
        </is>
      </c>
      <c r="B35" s="14" t="inlineStr">
        <is>
          <t>P2 Minimum Bar End-to-End</t>
        </is>
      </c>
      <c r="C35" s="14" t="inlineStr">
        <is>
          <t>L14 Human control</t>
        </is>
      </c>
      <c r="D35" s="14" t="inlineStr">
        <is>
          <t>Approval gate: interrupt() tied to worksheet hash; 2 levels above threshold</t>
        </is>
      </c>
      <c r="E35" s="14" t="inlineStr">
        <is>
          <t>Edit-invalidates-approval demo</t>
        </is>
      </c>
      <c r="F35" s="14" t="inlineStr">
        <is>
          <t>Tools &amp; Security</t>
        </is>
      </c>
      <c r="G35" s="14">
        <f>IF(F35="","",IF(F35="All","Whole team",IFERROR(INDEX(Team!$B$5:$B$10,MATCH(F35,Team!$A$5:$A$10,0)),"")))</f>
        <v/>
      </c>
      <c r="H35" s="16" t="n">
        <v>46342</v>
      </c>
      <c r="I35" s="16" t="n">
        <v>46353</v>
      </c>
      <c r="J35" s="21" t="inlineStr">
        <is>
          <t>Not Started</t>
        </is>
      </c>
      <c r="K35" s="25" t="n">
        <v>0</v>
      </c>
      <c r="L35" s="14" t="inlineStr">
        <is>
          <t>Critical</t>
        </is>
      </c>
      <c r="M35" s="14" t="inlineStr">
        <is>
          <t>T23</t>
        </is>
      </c>
      <c r="N35" s="21" t="n"/>
      <c r="O35" s="17" t="n"/>
      <c r="P35" s="21" t="n"/>
      <c r="Q35" s="21" t="n"/>
      <c r="R35" s="14">
        <f>IF(OR(I35="",J35="Done"),"",IF(I35&lt;TODAY(),"OVERDUE",""))</f>
        <v/>
      </c>
      <c r="S35" s="14" t="n"/>
    </row>
    <row r="36">
      <c r="A36" s="14" t="inlineStr">
        <is>
          <t>T35</t>
        </is>
      </c>
      <c r="B36" s="14" t="inlineStr">
        <is>
          <t>P2 Minimum Bar End-to-End</t>
        </is>
      </c>
      <c r="C36" s="14" t="inlineStr">
        <is>
          <t>L15 Security</t>
        </is>
      </c>
      <c r="D36" s="14" t="inlineStr">
        <is>
          <t>Input guardrails: mask health data, injection check, documents as data</t>
        </is>
      </c>
      <c r="E36" s="14" t="inlineStr">
        <is>
          <t>Guardrail tests</t>
        </is>
      </c>
      <c r="F36" s="14" t="inlineStr">
        <is>
          <t>Tools &amp; Security</t>
        </is>
      </c>
      <c r="G36" s="14">
        <f>IF(F36="","",IF(F36="All","Whole team",IFERROR(INDEX(Team!$B$5:$B$10,MATCH(F36,Team!$A$5:$A$10,0)),"")))</f>
        <v/>
      </c>
      <c r="H36" s="16" t="n">
        <v>46342</v>
      </c>
      <c r="I36" s="16" t="n">
        <v>46353</v>
      </c>
      <c r="J36" s="21" t="inlineStr">
        <is>
          <t>Not Started</t>
        </is>
      </c>
      <c r="K36" s="25" t="n">
        <v>0</v>
      </c>
      <c r="L36" s="14" t="inlineStr">
        <is>
          <t>High</t>
        </is>
      </c>
      <c r="M36" s="14" t="inlineStr"/>
      <c r="N36" s="21" t="n"/>
      <c r="O36" s="17" t="n"/>
      <c r="P36" s="21" t="n"/>
      <c r="Q36" s="21" t="n"/>
      <c r="R36" s="14">
        <f>IF(OR(I36="",J36="Done"),"",IF(I36&lt;TODAY(),"OVERDUE",""))</f>
        <v/>
      </c>
      <c r="S36" s="14" t="n"/>
    </row>
    <row r="37">
      <c r="A37" s="14" t="inlineStr">
        <is>
          <t>T36</t>
        </is>
      </c>
      <c r="B37" s="14" t="inlineStr">
        <is>
          <t>P2 Minimum Bar End-to-End</t>
        </is>
      </c>
      <c r="C37" s="14" t="inlineStr">
        <is>
          <t>L15 Security</t>
        </is>
      </c>
      <c r="D37" s="14" t="inlineStr">
        <is>
          <t>Output guardrails: deductions cited, totals add up, right patient/policy no.</t>
        </is>
      </c>
      <c r="E37" s="14" t="inlineStr">
        <is>
          <t>Guardrail tests</t>
        </is>
      </c>
      <c r="F37" s="14" t="inlineStr">
        <is>
          <t>Tools &amp; Security</t>
        </is>
      </c>
      <c r="G37" s="14">
        <f>IF(F37="","",IF(F37="All","Whole team",IFERROR(INDEX(Team!$B$5:$B$10,MATCH(F37,Team!$A$5:$A$10,0)),"")))</f>
        <v/>
      </c>
      <c r="H37" s="16" t="n">
        <v>46342</v>
      </c>
      <c r="I37" s="16" t="n">
        <v>46353</v>
      </c>
      <c r="J37" s="21" t="inlineStr">
        <is>
          <t>Not Started</t>
        </is>
      </c>
      <c r="K37" s="25" t="n">
        <v>0</v>
      </c>
      <c r="L37" s="14" t="inlineStr">
        <is>
          <t>High</t>
        </is>
      </c>
      <c r="M37" s="14" t="inlineStr"/>
      <c r="N37" s="21" t="n"/>
      <c r="O37" s="17" t="n"/>
      <c r="P37" s="21" t="n"/>
      <c r="Q37" s="21" t="n"/>
      <c r="R37" s="14">
        <f>IF(OR(I37="",J37="Done"),"",IF(I37&lt;TODAY(),"OVERDUE",""))</f>
        <v/>
      </c>
      <c r="S37" s="14" t="n"/>
    </row>
    <row r="38">
      <c r="A38" s="14" t="inlineStr">
        <is>
          <t>T37</t>
        </is>
      </c>
      <c r="B38" s="14" t="inlineStr">
        <is>
          <t>P2 Minimum Bar End-to-End</t>
        </is>
      </c>
      <c r="C38" s="14" t="inlineStr">
        <is>
          <t>L16 Deployment</t>
        </is>
      </c>
      <c r="D38" s="14" t="inlineStr">
        <is>
          <t>FastAPI with streaming + case UI (upload packet, view worksheet, approve/edit)</t>
        </is>
      </c>
      <c r="E38" s="14" t="inlineStr">
        <is>
          <t>UI demo</t>
        </is>
      </c>
      <c r="F38" s="14" t="inlineStr">
        <is>
          <t>Deploy &amp; Ops</t>
        </is>
      </c>
      <c r="G38" s="14">
        <f>IF(F38="","",IF(F38="All","Whole team",IFERROR(INDEX(Team!$B$5:$B$10,MATCH(F38,Team!$A$5:$A$10,0)),"")))</f>
        <v/>
      </c>
      <c r="H38" s="16" t="n">
        <v>46342</v>
      </c>
      <c r="I38" s="16" t="n">
        <v>46353</v>
      </c>
      <c r="J38" s="21" t="inlineStr">
        <is>
          <t>Not Started</t>
        </is>
      </c>
      <c r="K38" s="25" t="n">
        <v>0</v>
      </c>
      <c r="L38" s="14" t="inlineStr">
        <is>
          <t>High</t>
        </is>
      </c>
      <c r="M38" s="14" t="inlineStr">
        <is>
          <t>T19</t>
        </is>
      </c>
      <c r="N38" s="21" t="n"/>
      <c r="O38" s="17" t="n"/>
      <c r="P38" s="21" t="n"/>
      <c r="Q38" s="21" t="n"/>
      <c r="R38" s="14">
        <f>IF(OR(I38="",J38="Done"),"",IF(I38&lt;TODAY(),"OVERDUE",""))</f>
        <v/>
      </c>
      <c r="S38" s="14" t="n"/>
    </row>
    <row r="39">
      <c r="A39" s="14" t="inlineStr">
        <is>
          <t>T38</t>
        </is>
      </c>
      <c r="B39" s="14" t="inlineStr">
        <is>
          <t>P2 Minimum Bar End-to-End</t>
        </is>
      </c>
      <c r="C39" s="14" t="inlineStr">
        <is>
          <t>Project Mgmt</t>
        </is>
      </c>
      <c r="D39" s="14" t="inlineStr">
        <is>
          <t>First end-to-end run on 5 dev claims</t>
        </is>
      </c>
      <c r="E39" s="14" t="inlineStr">
        <is>
          <t>E2E trace</t>
        </is>
      </c>
      <c r="F39" s="14" t="inlineStr">
        <is>
          <t>All</t>
        </is>
      </c>
      <c r="G39" s="14">
        <f>IF(F39="","",IF(F39="All","Whole team",IFERROR(INDEX(Team!$B$5:$B$10,MATCH(F39,Team!$A$5:$A$10,0)),"")))</f>
        <v/>
      </c>
      <c r="H39" s="16" t="n">
        <v>46342</v>
      </c>
      <c r="I39" s="16" t="n">
        <v>46353</v>
      </c>
      <c r="J39" s="21" t="inlineStr">
        <is>
          <t>Not Started</t>
        </is>
      </c>
      <c r="K39" s="25" t="n">
        <v>0</v>
      </c>
      <c r="L39" s="14" t="inlineStr">
        <is>
          <t>Critical</t>
        </is>
      </c>
      <c r="M39" s="14" t="inlineStr">
        <is>
          <t>T23,T37</t>
        </is>
      </c>
      <c r="N39" s="21" t="n"/>
      <c r="O39" s="17" t="n"/>
      <c r="P39" s="21" t="n"/>
      <c r="Q39" s="21" t="n"/>
      <c r="R39" s="14">
        <f>IF(OR(I39="",J39="Done"),"",IF(I39&lt;TODAY(),"OVERDUE",""))</f>
        <v/>
      </c>
      <c r="S39" s="14" t="n"/>
    </row>
    <row r="40">
      <c r="A40" s="14" t="inlineStr">
        <is>
          <t>T39</t>
        </is>
      </c>
      <c r="B40" s="14" t="inlineStr">
        <is>
          <t>P3 Signature Challenges + Eval</t>
        </is>
      </c>
      <c r="C40" s="14" t="inlineStr">
        <is>
          <t>L13 Evaluation</t>
        </is>
      </c>
      <c r="D40" s="14" t="inlineStr">
        <is>
          <t>Hand-calculate expected worksheets for 80 claims (room-rent breach, waiting period, duplicates, consumables, partial sub-limits, out-of-period)</t>
        </is>
      </c>
      <c r="E40" s="14" t="inlineStr">
        <is>
          <t>Expected worksheets</t>
        </is>
      </c>
      <c r="F40" s="14" t="inlineStr">
        <is>
          <t>Eval &amp; Red-Team</t>
        </is>
      </c>
      <c r="G40" s="14">
        <f>IF(F40="","",IF(F40="All","Whole team",IFERROR(INDEX(Team!$B$5:$B$10,MATCH(F40,Team!$A$5:$A$10,0)),"")))</f>
        <v/>
      </c>
      <c r="H40" s="16" t="n">
        <v>46356</v>
      </c>
      <c r="I40" s="16" t="n">
        <v>46367</v>
      </c>
      <c r="J40" s="21" t="inlineStr">
        <is>
          <t>Not Started</t>
        </is>
      </c>
      <c r="K40" s="25" t="n">
        <v>0</v>
      </c>
      <c r="L40" s="14" t="inlineStr">
        <is>
          <t>Critical</t>
        </is>
      </c>
      <c r="M40" s="14" t="inlineStr">
        <is>
          <t>T22</t>
        </is>
      </c>
      <c r="N40" s="21" t="n"/>
      <c r="O40" s="17" t="n"/>
      <c r="P40" s="21" t="n"/>
      <c r="Q40" s="21" t="n"/>
      <c r="R40" s="14">
        <f>IF(OR(I40="",J40="Done"),"",IF(I40&lt;TODAY(),"OVERDUE",""))</f>
        <v/>
      </c>
      <c r="S40" s="14" t="n"/>
    </row>
    <row r="41">
      <c r="A41" s="14" t="inlineStr">
        <is>
          <t>T40</t>
        </is>
      </c>
      <c r="B41" s="14" t="inlineStr">
        <is>
          <t>P3 Signature Challenges + Eval</t>
        </is>
      </c>
      <c r="C41" s="14" t="inlineStr">
        <is>
          <t>Domain/Product</t>
        </is>
      </c>
      <c r="D41" s="14" t="inlineStr">
        <is>
          <t>Check held-out cases against written policy</t>
        </is>
      </c>
      <c r="E41" s="14" t="inlineStr">
        <is>
          <t>Sign-off note</t>
        </is>
      </c>
      <c r="F41" s="14" t="inlineStr">
        <is>
          <t>Domain &amp; Product Lead</t>
        </is>
      </c>
      <c r="G41" s="14">
        <f>IF(F41="","",IF(F41="All","Whole team",IFERROR(INDEX(Team!$B$5:$B$10,MATCH(F41,Team!$A$5:$A$10,0)),"")))</f>
        <v/>
      </c>
      <c r="H41" s="16" t="n">
        <v>46356</v>
      </c>
      <c r="I41" s="16" t="n">
        <v>46367</v>
      </c>
      <c r="J41" s="21" t="inlineStr">
        <is>
          <t>Not Started</t>
        </is>
      </c>
      <c r="K41" s="25" t="n">
        <v>0</v>
      </c>
      <c r="L41" s="14" t="inlineStr">
        <is>
          <t>High</t>
        </is>
      </c>
      <c r="M41" s="14" t="inlineStr">
        <is>
          <t>T39</t>
        </is>
      </c>
      <c r="N41" s="21" t="n"/>
      <c r="O41" s="17" t="n"/>
      <c r="P41" s="21" t="n"/>
      <c r="Q41" s="21" t="n"/>
      <c r="R41" s="14">
        <f>IF(OR(I41="",J41="Done"),"",IF(I41&lt;TODAY(),"OVERDUE",""))</f>
        <v/>
      </c>
      <c r="S41" s="14" t="n"/>
    </row>
    <row r="42">
      <c r="A42" s="14" t="inlineStr">
        <is>
          <t>T41</t>
        </is>
      </c>
      <c r="B42" s="14" t="inlineStr">
        <is>
          <t>P3 Signature Challenges + Eval</t>
        </is>
      </c>
      <c r="C42" s="14" t="inlineStr">
        <is>
          <t>L13 Evaluation</t>
        </is>
      </c>
      <c r="D42" s="14" t="inlineStr">
        <is>
          <t>Eval harness: pytest/JSONL runner, code checkers (amounts, citations, DB state, tool calls)</t>
        </is>
      </c>
      <c r="E42" s="14" t="inlineStr">
        <is>
          <t>Harness CLI</t>
        </is>
      </c>
      <c r="F42" s="14" t="inlineStr">
        <is>
          <t>Eval &amp; Red-Team</t>
        </is>
      </c>
      <c r="G42" s="14">
        <f>IF(F42="","",IF(F42="All","Whole team",IFERROR(INDEX(Team!$B$5:$B$10,MATCH(F42,Team!$A$5:$A$10,0)),"")))</f>
        <v/>
      </c>
      <c r="H42" s="16" t="n">
        <v>46356</v>
      </c>
      <c r="I42" s="16" t="n">
        <v>46367</v>
      </c>
      <c r="J42" s="21" t="inlineStr">
        <is>
          <t>Not Started</t>
        </is>
      </c>
      <c r="K42" s="25" t="n">
        <v>0</v>
      </c>
      <c r="L42" s="14" t="inlineStr">
        <is>
          <t>Critical</t>
        </is>
      </c>
      <c r="M42" s="14" t="inlineStr">
        <is>
          <t>T38</t>
        </is>
      </c>
      <c r="N42" s="21" t="n"/>
      <c r="O42" s="17" t="n"/>
      <c r="P42" s="21" t="n"/>
      <c r="Q42" s="21" t="n"/>
      <c r="R42" s="14">
        <f>IF(OR(I42="",J42="Done"),"",IF(I42&lt;TODAY(),"OVERDUE",""))</f>
        <v/>
      </c>
      <c r="S42" s="14" t="n"/>
    </row>
    <row r="43">
      <c r="A43" s="14" t="inlineStr">
        <is>
          <t>T42</t>
        </is>
      </c>
      <c r="B43" s="14" t="inlineStr">
        <is>
          <t>P3 Signature Challenges + Eval</t>
        </is>
      </c>
      <c r="C43" s="14" t="inlineStr">
        <is>
          <t>L13 Evaluation</t>
        </is>
      </c>
      <c r="D43" s="14" t="inlineStr">
        <is>
          <t>LLM judge (different family) vs 20+ human labels; Cohen's kappa</t>
        </is>
      </c>
      <c r="E43" s="14" t="inlineStr">
        <is>
          <t>Kappa value</t>
        </is>
      </c>
      <c r="F43" s="14" t="inlineStr">
        <is>
          <t>Eval &amp; Red-Team</t>
        </is>
      </c>
      <c r="G43" s="14">
        <f>IF(F43="","",IF(F43="All","Whole team",IFERROR(INDEX(Team!$B$5:$B$10,MATCH(F43,Team!$A$5:$A$10,0)),"")))</f>
        <v/>
      </c>
      <c r="H43" s="16" t="n">
        <v>46356</v>
      </c>
      <c r="I43" s="16" t="n">
        <v>46367</v>
      </c>
      <c r="J43" s="21" t="inlineStr">
        <is>
          <t>Not Started</t>
        </is>
      </c>
      <c r="K43" s="25" t="n">
        <v>0</v>
      </c>
      <c r="L43" s="14" t="inlineStr">
        <is>
          <t>High</t>
        </is>
      </c>
      <c r="M43" s="14" t="inlineStr">
        <is>
          <t>T41</t>
        </is>
      </c>
      <c r="N43" s="21" t="n"/>
      <c r="O43" s="17" t="n"/>
      <c r="P43" s="21" t="n"/>
      <c r="Q43" s="21" t="n"/>
      <c r="R43" s="14">
        <f>IF(OR(I43="",J43="Done"),"",IF(I43&lt;TODAY(),"OVERDUE",""))</f>
        <v/>
      </c>
      <c r="S43" s="14" t="n"/>
    </row>
    <row r="44">
      <c r="A44" s="14" t="inlineStr">
        <is>
          <t>T43</t>
        </is>
      </c>
      <c r="B44" s="14" t="inlineStr">
        <is>
          <t>P3 Signature Challenges + Eval</t>
        </is>
      </c>
      <c r="C44" s="14" t="inlineStr">
        <is>
          <t>L15 Security</t>
        </is>
      </c>
      <c r="D44" s="14" t="inlineStr">
        <is>
          <t>One-page threat model</t>
        </is>
      </c>
      <c r="E44" s="14" t="inlineStr">
        <is>
          <t>docs/threat-model (private)</t>
        </is>
      </c>
      <c r="F44" s="14" t="inlineStr">
        <is>
          <t>Tools &amp; Security</t>
        </is>
      </c>
      <c r="G44" s="14">
        <f>IF(F44="","",IF(F44="All","Whole team",IFERROR(INDEX(Team!$B$5:$B$10,MATCH(F44,Team!$A$5:$A$10,0)),"")))</f>
        <v/>
      </c>
      <c r="H44" s="16" t="n">
        <v>46356</v>
      </c>
      <c r="I44" s="16" t="n">
        <v>46367</v>
      </c>
      <c r="J44" s="21" t="inlineStr">
        <is>
          <t>Not Started</t>
        </is>
      </c>
      <c r="K44" s="25" t="n">
        <v>0</v>
      </c>
      <c r="L44" s="14" t="inlineStr">
        <is>
          <t>High</t>
        </is>
      </c>
      <c r="M44" s="14" t="inlineStr"/>
      <c r="N44" s="21" t="n"/>
      <c r="O44" s="17" t="n"/>
      <c r="P44" s="21" t="n"/>
      <c r="Q44" s="21" t="n"/>
      <c r="R44" s="14">
        <f>IF(OR(I44="",J44="Done"),"",IF(I44&lt;TODAY(),"OVERDUE",""))</f>
        <v/>
      </c>
      <c r="S44" s="14" t="n"/>
    </row>
    <row r="45">
      <c r="A45" s="14" t="inlineStr">
        <is>
          <t>T44</t>
        </is>
      </c>
      <c r="B45" s="14" t="inlineStr">
        <is>
          <t>P3 Signature Challenges + Eval</t>
        </is>
      </c>
      <c r="C45" s="14" t="inlineStr">
        <is>
          <t>L15 Security</t>
        </is>
      </c>
      <c r="D45" s="14" t="inlineStr">
        <is>
          <t>Red-team suite 30+ attacks: 'pre-approved' note, bill total ≠ sum, altered date, wrong patient</t>
        </is>
      </c>
      <c r="E45" s="14" t="inlineStr">
        <is>
          <t>Attack suite</t>
        </is>
      </c>
      <c r="F45" s="14" t="inlineStr">
        <is>
          <t>Eval &amp; Red-Team</t>
        </is>
      </c>
      <c r="G45" s="14">
        <f>IF(F45="","",IF(F45="All","Whole team",IFERROR(INDEX(Team!$B$5:$B$10,MATCH(F45,Team!$A$5:$A$10,0)),"")))</f>
        <v/>
      </c>
      <c r="H45" s="16" t="n">
        <v>46356</v>
      </c>
      <c r="I45" s="16" t="n">
        <v>46367</v>
      </c>
      <c r="J45" s="21" t="inlineStr">
        <is>
          <t>Not Started</t>
        </is>
      </c>
      <c r="K45" s="25" t="n">
        <v>0</v>
      </c>
      <c r="L45" s="14" t="inlineStr">
        <is>
          <t>High</t>
        </is>
      </c>
      <c r="M45" s="14" t="inlineStr">
        <is>
          <t>T43</t>
        </is>
      </c>
      <c r="N45" s="21" t="n"/>
      <c r="O45" s="17" t="n"/>
      <c r="P45" s="21" t="n"/>
      <c r="Q45" s="21" t="n"/>
      <c r="R45" s="14">
        <f>IF(OR(I45="",J45="Done"),"",IF(I45&lt;TODAY(),"OVERDUE",""))</f>
        <v/>
      </c>
      <c r="S45" s="14" t="n"/>
    </row>
    <row r="46">
      <c r="A46" s="14" t="inlineStr">
        <is>
          <t>T45</t>
        </is>
      </c>
      <c r="B46" s="14" t="inlineStr">
        <is>
          <t>P3 Signature Challenges + Eval</t>
        </is>
      </c>
      <c r="C46" s="14" t="inlineStr">
        <is>
          <t>L12 Improvement</t>
        </is>
      </c>
      <c r="D46" s="14" t="inlineStr">
        <is>
          <t>Reflexion loop on dev claims: adjudicator edits → lessons; human review; freeze (Signature B)</t>
        </is>
      </c>
      <c r="E46" s="14" t="inlineStr">
        <is>
          <t>Playbook + 1 rejected lesson</t>
        </is>
      </c>
      <c r="F46" s="14" t="inlineStr">
        <is>
          <t>Agents &amp; Orchestration</t>
        </is>
      </c>
      <c r="G46" s="14">
        <f>IF(F46="","",IF(F46="All","Whole team",IFERROR(INDEX(Team!$B$5:$B$10,MATCH(F46,Team!$A$5:$A$10,0)),"")))</f>
        <v/>
      </c>
      <c r="H46" s="16" t="n">
        <v>46356</v>
      </c>
      <c r="I46" s="16" t="n">
        <v>46367</v>
      </c>
      <c r="J46" s="21" t="inlineStr">
        <is>
          <t>Not Started</t>
        </is>
      </c>
      <c r="K46" s="25" t="n">
        <v>0</v>
      </c>
      <c r="L46" s="14" t="inlineStr">
        <is>
          <t>Critical</t>
        </is>
      </c>
      <c r="M46" s="14" t="inlineStr">
        <is>
          <t>T41</t>
        </is>
      </c>
      <c r="N46" s="21" t="n"/>
      <c r="O46" s="17" t="n"/>
      <c r="P46" s="21" t="n"/>
      <c r="Q46" s="21" t="n"/>
      <c r="R46" s="14">
        <f>IF(OR(I46="",J46="Done"),"",IF(I46&lt;TODAY(),"OVERDUE",""))</f>
        <v/>
      </c>
      <c r="S46" s="14" t="n"/>
    </row>
    <row r="47">
      <c r="A47" s="14" t="inlineStr">
        <is>
          <t>T46</t>
        </is>
      </c>
      <c r="B47" s="14" t="inlineStr">
        <is>
          <t>P3 Signature Challenges + Eval</t>
        </is>
      </c>
      <c r="C47" s="14" t="inlineStr">
        <is>
          <t>L9 Memory</t>
        </is>
      </c>
      <c r="D47" s="14" t="inlineStr">
        <is>
          <t>Lesson store: retrieve only relevant lessons; withdraw a lesson</t>
        </is>
      </c>
      <c r="E47" s="14" t="inlineStr">
        <is>
          <t>Lesson retrieval test</t>
        </is>
      </c>
      <c r="F47" s="14" t="inlineStr">
        <is>
          <t>Knowledge &amp; Memory</t>
        </is>
      </c>
      <c r="G47" s="14">
        <f>IF(F47="","",IF(F47="All","Whole team",IFERROR(INDEX(Team!$B$5:$B$10,MATCH(F47,Team!$A$5:$A$10,0)),"")))</f>
        <v/>
      </c>
      <c r="H47" s="16" t="n">
        <v>46356</v>
      </c>
      <c r="I47" s="16" t="n">
        <v>46367</v>
      </c>
      <c r="J47" s="21" t="inlineStr">
        <is>
          <t>Not Started</t>
        </is>
      </c>
      <c r="K47" s="25" t="n">
        <v>0</v>
      </c>
      <c r="L47" s="14" t="inlineStr">
        <is>
          <t>High</t>
        </is>
      </c>
      <c r="M47" s="14" t="inlineStr">
        <is>
          <t>T45</t>
        </is>
      </c>
      <c r="N47" s="21" t="n"/>
      <c r="O47" s="17" t="n"/>
      <c r="P47" s="21" t="n"/>
      <c r="Q47" s="21" t="n"/>
      <c r="R47" s="14">
        <f>IF(OR(I47="",J47="Done"),"",IF(I47&lt;TODAY(),"OVERDUE",""))</f>
        <v/>
      </c>
      <c r="S47" s="14" t="n"/>
    </row>
    <row r="48">
      <c r="A48" s="14" t="inlineStr">
        <is>
          <t>T47</t>
        </is>
      </c>
      <c r="B48" s="14" t="inlineStr">
        <is>
          <t>P3 Signature Challenges + Eval</t>
        </is>
      </c>
      <c r="C48" s="14" t="inlineStr">
        <is>
          <t>L7 Tools/MCP</t>
        </is>
      </c>
      <c r="D48" s="14" t="inlineStr">
        <is>
          <t>Proportional-cut audit: line-by-line explanation of the calculation</t>
        </is>
      </c>
      <c r="E48" s="14" t="inlineStr">
        <is>
          <t>Explainer output (Signature A)</t>
        </is>
      </c>
      <c r="F48" s="14" t="inlineStr">
        <is>
          <t>Tools &amp; Security</t>
        </is>
      </c>
      <c r="G48" s="14">
        <f>IF(F48="","",IF(F48="All","Whole team",IFERROR(INDEX(Team!$B$5:$B$10,MATCH(F48,Team!$A$5:$A$10,0)),"")))</f>
        <v/>
      </c>
      <c r="H48" s="16" t="n">
        <v>46356</v>
      </c>
      <c r="I48" s="16" t="n">
        <v>46367</v>
      </c>
      <c r="J48" s="21" t="inlineStr">
        <is>
          <t>Not Started</t>
        </is>
      </c>
      <c r="K48" s="25" t="n">
        <v>0</v>
      </c>
      <c r="L48" s="14" t="inlineStr">
        <is>
          <t>High</t>
        </is>
      </c>
      <c r="M48" s="14" t="inlineStr">
        <is>
          <t>T15</t>
        </is>
      </c>
      <c r="N48" s="21" t="n"/>
      <c r="O48" s="17" t="n"/>
      <c r="P48" s="21" t="n"/>
      <c r="Q48" s="21" t="n"/>
      <c r="R48" s="14">
        <f>IF(OR(I48="",J48="Done"),"",IF(I48&lt;TODAY(),"OVERDUE",""))</f>
        <v/>
      </c>
      <c r="S48" s="14" t="n"/>
    </row>
    <row r="49">
      <c r="A49" s="14" t="inlineStr">
        <is>
          <t>T48</t>
        </is>
      </c>
      <c r="B49" s="14" t="inlineStr">
        <is>
          <t>P3 Signature Challenges + Eval</t>
        </is>
      </c>
      <c r="C49" s="14" t="inlineStr">
        <is>
          <t>L16 Deployment</t>
        </is>
      </c>
      <c r="D49" s="14" t="inlineStr">
        <is>
          <t>CI with eval gate that fails below threshold</t>
        </is>
      </c>
      <c r="E49" s="14" t="inlineStr">
        <is>
          <t>Failing CI run explained</t>
        </is>
      </c>
      <c r="F49" s="14" t="inlineStr">
        <is>
          <t>Deploy &amp; Ops</t>
        </is>
      </c>
      <c r="G49" s="14">
        <f>IF(F49="","",IF(F49="All","Whole team",IFERROR(INDEX(Team!$B$5:$B$10,MATCH(F49,Team!$A$5:$A$10,0)),"")))</f>
        <v/>
      </c>
      <c r="H49" s="16" t="n">
        <v>46356</v>
      </c>
      <c r="I49" s="16" t="n">
        <v>46367</v>
      </c>
      <c r="J49" s="21" t="inlineStr">
        <is>
          <t>Not Started</t>
        </is>
      </c>
      <c r="K49" s="25" t="n">
        <v>0</v>
      </c>
      <c r="L49" s="14" t="inlineStr">
        <is>
          <t>High</t>
        </is>
      </c>
      <c r="M49" s="14" t="inlineStr">
        <is>
          <t>T41</t>
        </is>
      </c>
      <c r="N49" s="21" t="n"/>
      <c r="O49" s="17" t="n"/>
      <c r="P49" s="21" t="n"/>
      <c r="Q49" s="21" t="n"/>
      <c r="R49" s="14">
        <f>IF(OR(I49="",J49="Done"),"",IF(I49&lt;TODAY(),"OVERDUE",""))</f>
        <v/>
      </c>
      <c r="S49" s="14" t="n"/>
    </row>
    <row r="50">
      <c r="A50" s="14" t="inlineStr">
        <is>
          <t>T49</t>
        </is>
      </c>
      <c r="B50" s="14" t="inlineStr">
        <is>
          <t>P3 Signature Challenges + Eval</t>
        </is>
      </c>
      <c r="C50" s="14" t="inlineStr">
        <is>
          <t>L16 Deployment</t>
        </is>
      </c>
      <c r="D50" s="14" t="inlineStr">
        <is>
          <t>Grafana: claims processed, edit rate, ₹ deducted by reason, fraud flags, turnaround, cost/claim</t>
        </is>
      </c>
      <c r="E50" s="14" t="inlineStr">
        <is>
          <t>Dashboard screenshot</t>
        </is>
      </c>
      <c r="F50" s="14" t="inlineStr">
        <is>
          <t>Deploy &amp; Ops</t>
        </is>
      </c>
      <c r="G50" s="14">
        <f>IF(F50="","",IF(F50="All","Whole team",IFERROR(INDEX(Team!$B$5:$B$10,MATCH(F50,Team!$A$5:$A$10,0)),"")))</f>
        <v/>
      </c>
      <c r="H50" s="16" t="n">
        <v>46356</v>
      </c>
      <c r="I50" s="16" t="n">
        <v>46367</v>
      </c>
      <c r="J50" s="21" t="inlineStr">
        <is>
          <t>Not Started</t>
        </is>
      </c>
      <c r="K50" s="25" t="n">
        <v>0</v>
      </c>
      <c r="L50" s="14" t="inlineStr">
        <is>
          <t>High</t>
        </is>
      </c>
      <c r="M50" s="14" t="inlineStr">
        <is>
          <t>T21</t>
        </is>
      </c>
      <c r="N50" s="21" t="n"/>
      <c r="O50" s="17" t="n"/>
      <c r="P50" s="21" t="n"/>
      <c r="Q50" s="21" t="n"/>
      <c r="R50" s="14">
        <f>IF(OR(I50="",J50="Done"),"",IF(I50&lt;TODAY(),"OVERDUE",""))</f>
        <v/>
      </c>
      <c r="S50" s="14" t="n"/>
    </row>
    <row r="51">
      <c r="A51" s="14" t="inlineStr">
        <is>
          <t>T50</t>
        </is>
      </c>
      <c r="B51" s="14" t="inlineStr">
        <is>
          <t>P3 Signature Challenges + Eval</t>
        </is>
      </c>
      <c r="C51" s="14" t="inlineStr">
        <is>
          <t>L16 Deployment</t>
        </is>
      </c>
      <c r="D51" s="14" t="inlineStr">
        <is>
          <t>Alert when adjudicator edit rate rises</t>
        </is>
      </c>
      <c r="E51" s="14" t="inlineStr">
        <is>
          <t>Alert fired once</t>
        </is>
      </c>
      <c r="F51" s="14" t="inlineStr">
        <is>
          <t>Deploy &amp; Ops</t>
        </is>
      </c>
      <c r="G51" s="14">
        <f>IF(F51="","",IF(F51="All","Whole team",IFERROR(INDEX(Team!$B$5:$B$10,MATCH(F51,Team!$A$5:$A$10,0)),"")))</f>
        <v/>
      </c>
      <c r="H51" s="16" t="n">
        <v>46356</v>
      </c>
      <c r="I51" s="16" t="n">
        <v>46367</v>
      </c>
      <c r="J51" s="21" t="inlineStr">
        <is>
          <t>Not Started</t>
        </is>
      </c>
      <c r="K51" s="25" t="n">
        <v>0</v>
      </c>
      <c r="L51" s="14" t="inlineStr">
        <is>
          <t>Medium</t>
        </is>
      </c>
      <c r="M51" s="14" t="inlineStr">
        <is>
          <t>T49</t>
        </is>
      </c>
      <c r="N51" s="21" t="n"/>
      <c r="O51" s="17" t="n"/>
      <c r="P51" s="21" t="n"/>
      <c r="Q51" s="21" t="n"/>
      <c r="R51" s="14">
        <f>IF(OR(I51="",J51="Done"),"",IF(I51&lt;TODAY(),"OVERDUE",""))</f>
        <v/>
      </c>
      <c r="S51" s="14" t="n"/>
    </row>
    <row r="52">
      <c r="A52" s="14" t="inlineStr">
        <is>
          <t>T51</t>
        </is>
      </c>
      <c r="B52" s="14" t="inlineStr">
        <is>
          <t>P4 Experiments &amp; Report</t>
        </is>
      </c>
      <c r="C52" s="14" t="inlineStr">
        <is>
          <t>L13 Evaluation</t>
        </is>
      </c>
      <c r="D52" s="14" t="inlineStr">
        <is>
          <t>E1: C0 fixed workflow vs C1 single agent vs C2 team</t>
        </is>
      </c>
      <c r="E52" s="14" t="inlineStr">
        <is>
          <t>E1 results</t>
        </is>
      </c>
      <c r="F52" s="14" t="inlineStr">
        <is>
          <t>Eval &amp; Red-Team</t>
        </is>
      </c>
      <c r="G52" s="14">
        <f>IF(F52="","",IF(F52="All","Whole team",IFERROR(INDEX(Team!$B$5:$B$10,MATCH(F52,Team!$A$5:$A$10,0)),"")))</f>
        <v/>
      </c>
      <c r="H52" s="16" t="n">
        <v>46370</v>
      </c>
      <c r="I52" s="16" t="n">
        <v>46374</v>
      </c>
      <c r="J52" s="21" t="inlineStr">
        <is>
          <t>Not Started</t>
        </is>
      </c>
      <c r="K52" s="25" t="n">
        <v>0</v>
      </c>
      <c r="L52" s="14" t="inlineStr">
        <is>
          <t>High</t>
        </is>
      </c>
      <c r="M52" s="14" t="inlineStr">
        <is>
          <t>T30,T41</t>
        </is>
      </c>
      <c r="N52" s="21" t="n"/>
      <c r="O52" s="17" t="n"/>
      <c r="P52" s="21" t="n"/>
      <c r="Q52" s="21" t="n"/>
      <c r="R52" s="14">
        <f>IF(OR(I52="",J52="Done"),"",IF(I52&lt;TODAY(),"OVERDUE",""))</f>
        <v/>
      </c>
      <c r="S52" s="14" t="n"/>
    </row>
    <row r="53">
      <c r="A53" s="14" t="inlineStr">
        <is>
          <t>T52</t>
        </is>
      </c>
      <c r="B53" s="14" t="inlineStr">
        <is>
          <t>P4 Experiments &amp; Report</t>
        </is>
      </c>
      <c r="C53" s="14" t="inlineStr">
        <is>
          <t>L15 Security</t>
        </is>
      </c>
      <c r="D53" s="14" t="inlineStr">
        <is>
          <t>E2: defences off vs on (attack success + false blocks)</t>
        </is>
      </c>
      <c r="E53" s="14" t="inlineStr">
        <is>
          <t>E2 results</t>
        </is>
      </c>
      <c r="F53" s="14" t="inlineStr">
        <is>
          <t>Eval &amp; Red-Team</t>
        </is>
      </c>
      <c r="G53" s="14">
        <f>IF(F53="","",IF(F53="All","Whole team",IFERROR(INDEX(Team!$B$5:$B$10,MATCH(F53,Team!$A$5:$A$10,0)),"")))</f>
        <v/>
      </c>
      <c r="H53" s="16" t="n">
        <v>46370</v>
      </c>
      <c r="I53" s="16" t="n">
        <v>46374</v>
      </c>
      <c r="J53" s="21" t="inlineStr">
        <is>
          <t>Not Started</t>
        </is>
      </c>
      <c r="K53" s="25" t="n">
        <v>0</v>
      </c>
      <c r="L53" s="14" t="inlineStr">
        <is>
          <t>High</t>
        </is>
      </c>
      <c r="M53" s="14" t="inlineStr">
        <is>
          <t>T44</t>
        </is>
      </c>
      <c r="N53" s="21" t="n"/>
      <c r="O53" s="17" t="n"/>
      <c r="P53" s="21" t="n"/>
      <c r="Q53" s="21" t="n"/>
      <c r="R53" s="14">
        <f>IF(OR(I53="",J53="Done"),"",IF(I53&lt;TODAY(),"OVERDUE",""))</f>
        <v/>
      </c>
      <c r="S53" s="14" t="n"/>
    </row>
    <row r="54">
      <c r="A54" s="14" t="inlineStr">
        <is>
          <t>T53</t>
        </is>
      </c>
      <c r="B54" s="14" t="inlineStr">
        <is>
          <t>P4 Experiments &amp; Report</t>
        </is>
      </c>
      <c r="C54" s="14" t="inlineStr">
        <is>
          <t>L12 Improvement</t>
        </is>
      </c>
      <c r="D54" s="14" t="inlineStr">
        <is>
          <t>E3: held-out before vs after playbook, 3 repeats, lesson cost</t>
        </is>
      </c>
      <c r="E54" s="14" t="inlineStr">
        <is>
          <t>E3 results</t>
        </is>
      </c>
      <c r="F54" s="14" t="inlineStr">
        <is>
          <t>Eval &amp; Red-Team</t>
        </is>
      </c>
      <c r="G54" s="14">
        <f>IF(F54="","",IF(F54="All","Whole team",IFERROR(INDEX(Team!$B$5:$B$10,MATCH(F54,Team!$A$5:$A$10,0)),"")))</f>
        <v/>
      </c>
      <c r="H54" s="16" t="n">
        <v>46370</v>
      </c>
      <c r="I54" s="16" t="n">
        <v>46374</v>
      </c>
      <c r="J54" s="21" t="inlineStr">
        <is>
          <t>Not Started</t>
        </is>
      </c>
      <c r="K54" s="25" t="n">
        <v>0</v>
      </c>
      <c r="L54" s="14" t="inlineStr">
        <is>
          <t>High</t>
        </is>
      </c>
      <c r="M54" s="14" t="inlineStr">
        <is>
          <t>T45</t>
        </is>
      </c>
      <c r="N54" s="21" t="n"/>
      <c r="O54" s="17" t="n"/>
      <c r="P54" s="21" t="n"/>
      <c r="Q54" s="21" t="n"/>
      <c r="R54" s="14">
        <f>IF(OR(I54="",J54="Done"),"",IF(I54&lt;TODAY(),"OVERDUE",""))</f>
        <v/>
      </c>
      <c r="S54" s="14" t="n"/>
    </row>
    <row r="55">
      <c r="A55" s="14" t="inlineStr">
        <is>
          <t>T54</t>
        </is>
      </c>
      <c r="B55" s="14" t="inlineStr">
        <is>
          <t>P4 Experiments &amp; Report</t>
        </is>
      </c>
      <c r="C55" s="14" t="inlineStr">
        <is>
          <t>L13 Evaluation</t>
        </is>
      </c>
      <c r="D55" s="14" t="inlineStr">
        <is>
          <t>E4: LLM arithmetic vs calculator — rupee error</t>
        </is>
      </c>
      <c r="E55" s="14" t="inlineStr">
        <is>
          <t>E4 results</t>
        </is>
      </c>
      <c r="F55" s="14" t="inlineStr">
        <is>
          <t>Eval &amp; Red-Team</t>
        </is>
      </c>
      <c r="G55" s="14">
        <f>IF(F55="","",IF(F55="All","Whole team",IFERROR(INDEX(Team!$B$5:$B$10,MATCH(F55,Team!$A$5:$A$10,0)),"")))</f>
        <v/>
      </c>
      <c r="H55" s="16" t="n">
        <v>46370</v>
      </c>
      <c r="I55" s="16" t="n">
        <v>46374</v>
      </c>
      <c r="J55" s="21" t="inlineStr">
        <is>
          <t>Not Started</t>
        </is>
      </c>
      <c r="K55" s="25" t="n">
        <v>0</v>
      </c>
      <c r="L55" s="14" t="inlineStr">
        <is>
          <t>High</t>
        </is>
      </c>
      <c r="M55" s="14" t="inlineStr">
        <is>
          <t>T15</t>
        </is>
      </c>
      <c r="N55" s="21" t="n"/>
      <c r="O55" s="17" t="n"/>
      <c r="P55" s="21" t="n"/>
      <c r="Q55" s="21" t="n"/>
      <c r="R55" s="14">
        <f>IF(OR(I55="",J55="Done"),"",IF(I55&lt;TODAY(),"OVERDUE",""))</f>
        <v/>
      </c>
      <c r="S55" s="14" t="n"/>
    </row>
    <row r="56">
      <c r="A56" s="14" t="inlineStr">
        <is>
          <t>T55</t>
        </is>
      </c>
      <c r="B56" s="14" t="inlineStr">
        <is>
          <t>P4 Experiments &amp; Report</t>
        </is>
      </c>
      <c r="C56" s="14" t="inlineStr">
        <is>
          <t>L9 Memory</t>
        </is>
      </c>
      <c r="D56" s="14" t="inlineStr">
        <is>
          <t>Memory on vs off comparison</t>
        </is>
      </c>
      <c r="E56" s="14" t="inlineStr">
        <is>
          <t>Comparison table</t>
        </is>
      </c>
      <c r="F56" s="14" t="inlineStr">
        <is>
          <t>Knowledge &amp; Memory</t>
        </is>
      </c>
      <c r="G56" s="14">
        <f>IF(F56="","",IF(F56="All","Whole team",IFERROR(INDEX(Team!$B$5:$B$10,MATCH(F56,Team!$A$5:$A$10,0)),"")))</f>
        <v/>
      </c>
      <c r="H56" s="16" t="n">
        <v>46370</v>
      </c>
      <c r="I56" s="16" t="n">
        <v>46374</v>
      </c>
      <c r="J56" s="21" t="inlineStr">
        <is>
          <t>Not Started</t>
        </is>
      </c>
      <c r="K56" s="25" t="n">
        <v>0</v>
      </c>
      <c r="L56" s="14" t="inlineStr">
        <is>
          <t>Medium</t>
        </is>
      </c>
      <c r="M56" s="14" t="inlineStr">
        <is>
          <t>T31</t>
        </is>
      </c>
      <c r="N56" s="21" t="n"/>
      <c r="O56" s="17" t="n"/>
      <c r="P56" s="21" t="n"/>
      <c r="Q56" s="21" t="n"/>
      <c r="R56" s="14">
        <f>IF(OR(I56="",J56="Done"),"",IF(I56&lt;TODAY(),"OVERDUE",""))</f>
        <v/>
      </c>
      <c r="S56" s="14" t="n"/>
    </row>
    <row r="57">
      <c r="A57" s="14" t="inlineStr">
        <is>
          <t>T56</t>
        </is>
      </c>
      <c r="B57" s="14" t="inlineStr">
        <is>
          <t>P4 Experiments &amp; Report</t>
        </is>
      </c>
      <c r="C57" s="14" t="inlineStr">
        <is>
          <t>L4–L6 Retrieval</t>
        </is>
      </c>
      <c r="D57" s="14" t="inlineStr">
        <is>
          <t>Recall@5 before vs after one change</t>
        </is>
      </c>
      <c r="E57" s="14" t="inlineStr">
        <is>
          <t>Before/after numbers</t>
        </is>
      </c>
      <c r="F57" s="14" t="inlineStr">
        <is>
          <t>Knowledge &amp; Memory</t>
        </is>
      </c>
      <c r="G57" s="14">
        <f>IF(F57="","",IF(F57="All","Whole team",IFERROR(INDEX(Team!$B$5:$B$10,MATCH(F57,Team!$A$5:$A$10,0)),"")))</f>
        <v/>
      </c>
      <c r="H57" s="16" t="n">
        <v>46370</v>
      </c>
      <c r="I57" s="16" t="n">
        <v>46374</v>
      </c>
      <c r="J57" s="21" t="inlineStr">
        <is>
          <t>Not Started</t>
        </is>
      </c>
      <c r="K57" s="25" t="n">
        <v>0</v>
      </c>
      <c r="L57" s="14" t="inlineStr">
        <is>
          <t>Medium</t>
        </is>
      </c>
      <c r="M57" s="14" t="inlineStr">
        <is>
          <t>T12</t>
        </is>
      </c>
      <c r="N57" s="21" t="n"/>
      <c r="O57" s="17" t="n"/>
      <c r="P57" s="21" t="n"/>
      <c r="Q57" s="21" t="n"/>
      <c r="R57" s="14">
        <f>IF(OR(I57="",J57="Done"),"",IF(I57&lt;TODAY(),"OVERDUE",""))</f>
        <v/>
      </c>
      <c r="S57" s="14" t="n"/>
    </row>
    <row r="58">
      <c r="A58" s="14" t="inlineStr">
        <is>
          <t>T57</t>
        </is>
      </c>
      <c r="B58" s="14" t="inlineStr">
        <is>
          <t>P4 Experiments &amp; Report</t>
        </is>
      </c>
      <c r="C58" s="14" t="inlineStr">
        <is>
          <t>L13 Evaluation</t>
        </is>
      </c>
      <c r="D58" s="14" t="inlineStr">
        <is>
          <t>Evaluation report (4–6 pages)</t>
        </is>
      </c>
      <c r="E58" s="14" t="inlineStr">
        <is>
          <t>Report PDF</t>
        </is>
      </c>
      <c r="F58" s="14" t="inlineStr">
        <is>
          <t>Eval &amp; Red-Team</t>
        </is>
      </c>
      <c r="G58" s="14">
        <f>IF(F58="","",IF(F58="All","Whole team",IFERROR(INDEX(Team!$B$5:$B$10,MATCH(F58,Team!$A$5:$A$10,0)),"")))</f>
        <v/>
      </c>
      <c r="H58" s="16" t="n">
        <v>46370</v>
      </c>
      <c r="I58" s="16" t="n">
        <v>46374</v>
      </c>
      <c r="J58" s="21" t="inlineStr">
        <is>
          <t>Not Started</t>
        </is>
      </c>
      <c r="K58" s="25" t="n">
        <v>0</v>
      </c>
      <c r="L58" s="14" t="inlineStr">
        <is>
          <t>Critical</t>
        </is>
      </c>
      <c r="M58" s="14" t="inlineStr">
        <is>
          <t>T51,T52,T53,T54</t>
        </is>
      </c>
      <c r="N58" s="21" t="n"/>
      <c r="O58" s="17" t="n"/>
      <c r="P58" s="21" t="n"/>
      <c r="Q58" s="21" t="n"/>
      <c r="R58" s="14">
        <f>IF(OR(I58="",J58="Done"),"",IF(I58&lt;TODAY(),"OVERDUE",""))</f>
        <v/>
      </c>
      <c r="S58" s="14" t="n"/>
    </row>
    <row r="59">
      <c r="A59" s="14" t="inlineStr">
        <is>
          <t>T58</t>
        </is>
      </c>
      <c r="B59" s="14" t="inlineStr">
        <is>
          <t>P4 Experiments &amp; Report</t>
        </is>
      </c>
      <c r="C59" s="14" t="inlineStr">
        <is>
          <t>L16 Deployment</t>
        </is>
      </c>
      <c r="D59" s="14" t="inlineStr">
        <is>
          <t>Clean-machine install test; README one-command start</t>
        </is>
      </c>
      <c r="E59" s="14" t="inlineStr">
        <is>
          <t>Install log</t>
        </is>
      </c>
      <c r="F59" s="14" t="inlineStr">
        <is>
          <t>Deploy &amp; Ops</t>
        </is>
      </c>
      <c r="G59" s="14">
        <f>IF(F59="","",IF(F59="All","Whole team",IFERROR(INDEX(Team!$B$5:$B$10,MATCH(F59,Team!$A$5:$A$10,0)),"")))</f>
        <v/>
      </c>
      <c r="H59" s="16" t="n">
        <v>46370</v>
      </c>
      <c r="I59" s="16" t="n">
        <v>46374</v>
      </c>
      <c r="J59" s="21" t="inlineStr">
        <is>
          <t>Not Started</t>
        </is>
      </c>
      <c r="K59" s="25" t="n">
        <v>0</v>
      </c>
      <c r="L59" s="14" t="inlineStr">
        <is>
          <t>High</t>
        </is>
      </c>
      <c r="M59" s="14" t="inlineStr"/>
      <c r="N59" s="21" t="n"/>
      <c r="O59" s="17" t="n"/>
      <c r="P59" s="21" t="n"/>
      <c r="Q59" s="21" t="n"/>
      <c r="R59" s="14">
        <f>IF(OR(I59="",J59="Done"),"",IF(I59&lt;TODAY(),"OVERDUE",""))</f>
        <v/>
      </c>
      <c r="S59" s="14" t="n"/>
    </row>
    <row r="60">
      <c r="A60" s="14" t="inlineStr">
        <is>
          <t>T59</t>
        </is>
      </c>
      <c r="B60" s="14" t="inlineStr">
        <is>
          <t>P5 Demo &amp; Submission</t>
        </is>
      </c>
      <c r="C60" s="14" t="inlineStr">
        <is>
          <t>Domain/Product</t>
        </is>
      </c>
      <c r="D60" s="14" t="inlineStr">
        <is>
          <t>Demo script (3 scenes) + 2 rehearsals</t>
        </is>
      </c>
      <c r="E60" s="14" t="inlineStr">
        <is>
          <t>Script + rehearsal notes</t>
        </is>
      </c>
      <c r="F60" s="14" t="inlineStr">
        <is>
          <t>Domain &amp; Product Lead</t>
        </is>
      </c>
      <c r="G60" s="14">
        <f>IF(F60="","",IF(F60="All","Whole team",IFERROR(INDEX(Team!$B$5:$B$10,MATCH(F60,Team!$A$5:$A$10,0)),"")))</f>
        <v/>
      </c>
      <c r="H60" s="16" t="n">
        <v>46377</v>
      </c>
      <c r="I60" s="16" t="n">
        <v>46380</v>
      </c>
      <c r="J60" s="21" t="inlineStr">
        <is>
          <t>Not Started</t>
        </is>
      </c>
      <c r="K60" s="25" t="n">
        <v>0</v>
      </c>
      <c r="L60" s="14" t="inlineStr">
        <is>
          <t>Critical</t>
        </is>
      </c>
      <c r="M60" s="14" t="inlineStr"/>
      <c r="N60" s="21" t="n"/>
      <c r="O60" s="17" t="n"/>
      <c r="P60" s="21" t="n"/>
      <c r="Q60" s="21" t="n"/>
      <c r="R60" s="14">
        <f>IF(OR(I60="",J60="Done"),"",IF(I60&lt;TODAY(),"OVERDUE",""))</f>
        <v/>
      </c>
      <c r="S60" s="14" t="n"/>
    </row>
    <row r="61">
      <c r="A61" s="14" t="inlineStr">
        <is>
          <t>T60</t>
        </is>
      </c>
      <c r="B61" s="14" t="inlineStr">
        <is>
          <t>P5 Demo &amp; Submission</t>
        </is>
      </c>
      <c r="C61" s="14" t="inlineStr">
        <is>
          <t>Project Mgmt</t>
        </is>
      </c>
      <c r="D61" s="14" t="inlineStr">
        <is>
          <t>Redrawn architecture diagram + numbered walkthrough</t>
        </is>
      </c>
      <c r="E61" s="14" t="inlineStr">
        <is>
          <t>Diagram in docs/</t>
        </is>
      </c>
      <c r="F61" s="14" t="inlineStr">
        <is>
          <t>Agents &amp; Orchestration</t>
        </is>
      </c>
      <c r="G61" s="14">
        <f>IF(F61="","",IF(F61="All","Whole team",IFERROR(INDEX(Team!$B$5:$B$10,MATCH(F61,Team!$A$5:$A$10,0)),"")))</f>
        <v/>
      </c>
      <c r="H61" s="16" t="n">
        <v>46377</v>
      </c>
      <c r="I61" s="16" t="n">
        <v>46380</v>
      </c>
      <c r="J61" s="21" t="inlineStr">
        <is>
          <t>Not Started</t>
        </is>
      </c>
      <c r="K61" s="25" t="n">
        <v>0</v>
      </c>
      <c r="L61" s="14" t="inlineStr">
        <is>
          <t>High</t>
        </is>
      </c>
      <c r="M61" s="14" t="inlineStr"/>
      <c r="N61" s="21" t="n"/>
      <c r="O61" s="17" t="n"/>
      <c r="P61" s="21" t="n"/>
      <c r="Q61" s="21" t="n"/>
      <c r="R61" s="14">
        <f>IF(OR(I61="",J61="Done"),"",IF(I61&lt;TODAY(),"OVERDUE",""))</f>
        <v/>
      </c>
      <c r="S61" s="14" t="n"/>
    </row>
    <row r="62">
      <c r="A62" s="14" t="inlineStr">
        <is>
          <t>T61</t>
        </is>
      </c>
      <c r="B62" s="14" t="inlineStr">
        <is>
          <t>P5 Demo &amp; Submission</t>
        </is>
      </c>
      <c r="C62" s="14" t="inlineStr">
        <is>
          <t>Domain/Product</t>
        </is>
      </c>
      <c r="D62" s="14" t="inlineStr">
        <is>
          <t>Slides</t>
        </is>
      </c>
      <c r="E62" s="14" t="inlineStr">
        <is>
          <t>Slide deck</t>
        </is>
      </c>
      <c r="F62" s="14" t="inlineStr">
        <is>
          <t>Domain &amp; Product Lead</t>
        </is>
      </c>
      <c r="G62" s="14">
        <f>IF(F62="","",IF(F62="All","Whole team",IFERROR(INDEX(Team!$B$5:$B$10,MATCH(F62,Team!$A$5:$A$10,0)),"")))</f>
        <v/>
      </c>
      <c r="H62" s="16" t="n">
        <v>46377</v>
      </c>
      <c r="I62" s="16" t="n">
        <v>46380</v>
      </c>
      <c r="J62" s="21" t="inlineStr">
        <is>
          <t>Not Started</t>
        </is>
      </c>
      <c r="K62" s="25" t="n">
        <v>0</v>
      </c>
      <c r="L62" s="14" t="inlineStr">
        <is>
          <t>High</t>
        </is>
      </c>
      <c r="M62" s="14" t="inlineStr">
        <is>
          <t>T57</t>
        </is>
      </c>
      <c r="N62" s="21" t="n"/>
      <c r="O62" s="17" t="n"/>
      <c r="P62" s="21" t="n"/>
      <c r="Q62" s="21" t="n"/>
      <c r="R62" s="14">
        <f>IF(OR(I62="",J62="Done"),"",IF(I62&lt;TODAY(),"OVERDUE",""))</f>
        <v/>
      </c>
      <c r="S62" s="14" t="n"/>
    </row>
    <row r="63">
      <c r="A63" s="14" t="inlineStr">
        <is>
          <t>T62</t>
        </is>
      </c>
      <c r="B63" s="14" t="inlineStr">
        <is>
          <t>P5 Demo &amp; Submission</t>
        </is>
      </c>
      <c r="C63" s="14" t="inlineStr">
        <is>
          <t>L16 Deployment</t>
        </is>
      </c>
      <c r="D63" s="14" t="inlineStr">
        <is>
          <t>Backup demo recording</t>
        </is>
      </c>
      <c r="E63" s="14" t="inlineStr">
        <is>
          <t>Video file</t>
        </is>
      </c>
      <c r="F63" s="14" t="inlineStr">
        <is>
          <t>Deploy &amp; Ops</t>
        </is>
      </c>
      <c r="G63" s="14">
        <f>IF(F63="","",IF(F63="All","Whole team",IFERROR(INDEX(Team!$B$5:$B$10,MATCH(F63,Team!$A$5:$A$10,0)),"")))</f>
        <v/>
      </c>
      <c r="H63" s="16" t="n">
        <v>46377</v>
      </c>
      <c r="I63" s="16" t="n">
        <v>46380</v>
      </c>
      <c r="J63" s="21" t="inlineStr">
        <is>
          <t>Not Started</t>
        </is>
      </c>
      <c r="K63" s="25" t="n">
        <v>0</v>
      </c>
      <c r="L63" s="14" t="inlineStr">
        <is>
          <t>High</t>
        </is>
      </c>
      <c r="M63" s="14" t="inlineStr">
        <is>
          <t>T59</t>
        </is>
      </c>
      <c r="N63" s="21" t="n"/>
      <c r="O63" s="17" t="n"/>
      <c r="P63" s="21" t="n"/>
      <c r="Q63" s="21" t="n"/>
      <c r="R63" s="14">
        <f>IF(OR(I63="",J63="Done"),"",IF(I63&lt;TODAY(),"OVERDUE",""))</f>
        <v/>
      </c>
      <c r="S63" s="14" t="n"/>
    </row>
    <row r="64">
      <c r="A64" s="14" t="inlineStr">
        <is>
          <t>T63</t>
        </is>
      </c>
      <c r="B64" s="14" t="inlineStr">
        <is>
          <t>P5 Demo &amp; Submission</t>
        </is>
      </c>
      <c r="C64" s="14" t="inlineStr">
        <is>
          <t>Project Mgmt</t>
        </is>
      </c>
      <c r="D64" s="14" t="inlineStr">
        <is>
          <t>Final contribution-log review</t>
        </is>
      </c>
      <c r="E64" s="14" t="inlineStr">
        <is>
          <t>CONTRIBUTIONS.md</t>
        </is>
      </c>
      <c r="F64" s="14" t="inlineStr">
        <is>
          <t>All</t>
        </is>
      </c>
      <c r="G64" s="14">
        <f>IF(F64="","",IF(F64="All","Whole team",IFERROR(INDEX(Team!$B$5:$B$10,MATCH(F64,Team!$A$5:$A$10,0)),"")))</f>
        <v/>
      </c>
      <c r="H64" s="16" t="n">
        <v>46377</v>
      </c>
      <c r="I64" s="16" t="n">
        <v>46380</v>
      </c>
      <c r="J64" s="21" t="inlineStr">
        <is>
          <t>Not Started</t>
        </is>
      </c>
      <c r="K64" s="25" t="n">
        <v>0</v>
      </c>
      <c r="L64" s="14" t="inlineStr">
        <is>
          <t>High</t>
        </is>
      </c>
      <c r="M64" s="14" t="inlineStr"/>
      <c r="N64" s="21" t="n"/>
      <c r="O64" s="17" t="n"/>
      <c r="P64" s="21" t="n"/>
      <c r="Q64" s="21" t="n"/>
      <c r="R64" s="14">
        <f>IF(OR(I64="",J64="Done"),"",IF(I64&lt;TODAY(),"OVERDUE",""))</f>
        <v/>
      </c>
      <c r="S64" s="14" t="n"/>
    </row>
    <row r="65">
      <c r="A65" s="14" t="inlineStr">
        <is>
          <t>T64</t>
        </is>
      </c>
      <c r="B65" s="14" t="inlineStr">
        <is>
          <t>P5 Demo &amp; Submission</t>
        </is>
      </c>
      <c r="C65" s="14" t="inlineStr">
        <is>
          <t>Project Mgmt</t>
        </is>
      </c>
      <c r="D65" s="14" t="inlineStr">
        <is>
          <t>Viva prep: everyone redraws the architecture and explains their part</t>
        </is>
      </c>
      <c r="E65" s="14" t="inlineStr">
        <is>
          <t>Mock viva done</t>
        </is>
      </c>
      <c r="F65" s="14" t="inlineStr">
        <is>
          <t>All</t>
        </is>
      </c>
      <c r="G65" s="14">
        <f>IF(F65="","",IF(F65="All","Whole team",IFERROR(INDEX(Team!$B$5:$B$10,MATCH(F65,Team!$A$5:$A$10,0)),"")))</f>
        <v/>
      </c>
      <c r="H65" s="16" t="n">
        <v>46377</v>
      </c>
      <c r="I65" s="16" t="n">
        <v>46380</v>
      </c>
      <c r="J65" s="21" t="inlineStr">
        <is>
          <t>Not Started</t>
        </is>
      </c>
      <c r="K65" s="25" t="n">
        <v>0</v>
      </c>
      <c r="L65" s="14" t="inlineStr">
        <is>
          <t>High</t>
        </is>
      </c>
      <c r="M65" s="14" t="inlineStr">
        <is>
          <t>T60</t>
        </is>
      </c>
      <c r="N65" s="21" t="n"/>
      <c r="O65" s="17" t="n"/>
      <c r="P65" s="21" t="n"/>
      <c r="Q65" s="21" t="n"/>
      <c r="R65" s="14">
        <f>IF(OR(I65="",J65="Done"),"",IF(I65&lt;TODAY(),"OVERDUE",""))</f>
        <v/>
      </c>
      <c r="S65" s="14" t="n"/>
    </row>
    <row r="66">
      <c r="A66" s="23" t="n"/>
      <c r="B66" s="23" t="n"/>
      <c r="C66" s="23" t="n"/>
      <c r="D66" s="23" t="n"/>
      <c r="E66" s="23" t="n"/>
      <c r="F66" s="23" t="n"/>
      <c r="G66" s="23">
        <f>IF(F66="","",IF(F66="All","Whole team",IFERROR(INDEX(Team!$B$5:$B$10,MATCH(F66,Team!$A$5:$A$10,0)),"")))</f>
        <v/>
      </c>
      <c r="H66" s="26" t="n"/>
      <c r="I66" s="26" t="n"/>
      <c r="J66" s="27" t="n"/>
      <c r="K66" s="28" t="n"/>
      <c r="L66" s="23" t="n"/>
      <c r="M66" s="23" t="n"/>
      <c r="N66" s="27" t="n"/>
      <c r="O66" s="29" t="n"/>
      <c r="P66" s="27" t="n"/>
      <c r="Q66" s="27" t="n"/>
      <c r="R66" s="23">
        <f>IF(OR(I66="",J66="Done"),"",IF(I66&lt;TODAY(),"OVERDUE",""))</f>
        <v/>
      </c>
      <c r="S66" s="23" t="n"/>
    </row>
    <row r="67">
      <c r="A67" s="23" t="n"/>
      <c r="B67" s="23" t="n"/>
      <c r="C67" s="23" t="n"/>
      <c r="D67" s="23" t="n"/>
      <c r="E67" s="23" t="n"/>
      <c r="F67" s="23" t="n"/>
      <c r="G67" s="23">
        <f>IF(F67="","",IF(F67="All","Whole team",IFERROR(INDEX(Team!$B$5:$B$10,MATCH(F67,Team!$A$5:$A$10,0)),"")))</f>
        <v/>
      </c>
      <c r="H67" s="26" t="n"/>
      <c r="I67" s="26" t="n"/>
      <c r="J67" s="27" t="n"/>
      <c r="K67" s="28" t="n"/>
      <c r="L67" s="23" t="n"/>
      <c r="M67" s="23" t="n"/>
      <c r="N67" s="27" t="n"/>
      <c r="O67" s="29" t="n"/>
      <c r="P67" s="27" t="n"/>
      <c r="Q67" s="27" t="n"/>
      <c r="R67" s="23">
        <f>IF(OR(I67="",J67="Done"),"",IF(I67&lt;TODAY(),"OVERDUE",""))</f>
        <v/>
      </c>
      <c r="S67" s="23" t="n"/>
    </row>
    <row r="68">
      <c r="A68" s="23" t="n"/>
      <c r="B68" s="23" t="n"/>
      <c r="C68" s="23" t="n"/>
      <c r="D68" s="23" t="n"/>
      <c r="E68" s="23" t="n"/>
      <c r="F68" s="23" t="n"/>
      <c r="G68" s="23">
        <f>IF(F68="","",IF(F68="All","Whole team",IFERROR(INDEX(Team!$B$5:$B$10,MATCH(F68,Team!$A$5:$A$10,0)),"")))</f>
        <v/>
      </c>
      <c r="H68" s="26" t="n"/>
      <c r="I68" s="26" t="n"/>
      <c r="J68" s="27" t="n"/>
      <c r="K68" s="28" t="n"/>
      <c r="L68" s="23" t="n"/>
      <c r="M68" s="23" t="n"/>
      <c r="N68" s="27" t="n"/>
      <c r="O68" s="29" t="n"/>
      <c r="P68" s="27" t="n"/>
      <c r="Q68" s="27" t="n"/>
      <c r="R68" s="23">
        <f>IF(OR(I68="",J68="Done"),"",IF(I68&lt;TODAY(),"OVERDUE",""))</f>
        <v/>
      </c>
      <c r="S68" s="23" t="n"/>
    </row>
    <row r="69">
      <c r="A69" s="23" t="n"/>
      <c r="B69" s="23" t="n"/>
      <c r="C69" s="23" t="n"/>
      <c r="D69" s="23" t="n"/>
      <c r="E69" s="23" t="n"/>
      <c r="F69" s="23" t="n"/>
      <c r="G69" s="23">
        <f>IF(F69="","",IF(F69="All","Whole team",IFERROR(INDEX(Team!$B$5:$B$10,MATCH(F69,Team!$A$5:$A$10,0)),"")))</f>
        <v/>
      </c>
      <c r="H69" s="26" t="n"/>
      <c r="I69" s="26" t="n"/>
      <c r="J69" s="27" t="n"/>
      <c r="K69" s="28" t="n"/>
      <c r="L69" s="23" t="n"/>
      <c r="M69" s="23" t="n"/>
      <c r="N69" s="27" t="n"/>
      <c r="O69" s="29" t="n"/>
      <c r="P69" s="27" t="n"/>
      <c r="Q69" s="27" t="n"/>
      <c r="R69" s="23">
        <f>IF(OR(I69="",J69="Done"),"",IF(I69&lt;TODAY(),"OVERDUE",""))</f>
        <v/>
      </c>
      <c r="S69" s="23" t="n"/>
    </row>
    <row r="70">
      <c r="A70" s="23" t="n"/>
      <c r="B70" s="23" t="n"/>
      <c r="C70" s="23" t="n"/>
      <c r="D70" s="23" t="n"/>
      <c r="E70" s="23" t="n"/>
      <c r="F70" s="23" t="n"/>
      <c r="G70" s="23">
        <f>IF(F70="","",IF(F70="All","Whole team",IFERROR(INDEX(Team!$B$5:$B$10,MATCH(F70,Team!$A$5:$A$10,0)),"")))</f>
        <v/>
      </c>
      <c r="H70" s="26" t="n"/>
      <c r="I70" s="26" t="n"/>
      <c r="J70" s="27" t="n"/>
      <c r="K70" s="28" t="n"/>
      <c r="L70" s="23" t="n"/>
      <c r="M70" s="23" t="n"/>
      <c r="N70" s="27" t="n"/>
      <c r="O70" s="29" t="n"/>
      <c r="P70" s="27" t="n"/>
      <c r="Q70" s="27" t="n"/>
      <c r="R70" s="23">
        <f>IF(OR(I70="",J70="Done"),"",IF(I70&lt;TODAY(),"OVERDUE",""))</f>
        <v/>
      </c>
      <c r="S70" s="23" t="n"/>
    </row>
    <row r="71">
      <c r="A71" s="23" t="n"/>
      <c r="B71" s="23" t="n"/>
      <c r="C71" s="23" t="n"/>
      <c r="D71" s="23" t="n"/>
      <c r="E71" s="23" t="n"/>
      <c r="F71" s="23" t="n"/>
      <c r="G71" s="23">
        <f>IF(F71="","",IF(F71="All","Whole team",IFERROR(INDEX(Team!$B$5:$B$10,MATCH(F71,Team!$A$5:$A$10,0)),"")))</f>
        <v/>
      </c>
      <c r="H71" s="26" t="n"/>
      <c r="I71" s="26" t="n"/>
      <c r="J71" s="27" t="n"/>
      <c r="K71" s="28" t="n"/>
      <c r="L71" s="23" t="n"/>
      <c r="M71" s="23" t="n"/>
      <c r="N71" s="27" t="n"/>
      <c r="O71" s="29" t="n"/>
      <c r="P71" s="27" t="n"/>
      <c r="Q71" s="27" t="n"/>
      <c r="R71" s="23">
        <f>IF(OR(I71="",J71="Done"),"",IF(I71&lt;TODAY(),"OVERDUE",""))</f>
        <v/>
      </c>
      <c r="S71" s="23" t="n"/>
    </row>
    <row r="72">
      <c r="A72" s="23" t="n"/>
      <c r="B72" s="23" t="n"/>
      <c r="C72" s="23" t="n"/>
      <c r="D72" s="23" t="n"/>
      <c r="E72" s="23" t="n"/>
      <c r="F72" s="23" t="n"/>
      <c r="G72" s="23">
        <f>IF(F72="","",IF(F72="All","Whole team",IFERROR(INDEX(Team!$B$5:$B$10,MATCH(F72,Team!$A$5:$A$10,0)),"")))</f>
        <v/>
      </c>
      <c r="H72" s="26" t="n"/>
      <c r="I72" s="26" t="n"/>
      <c r="J72" s="27" t="n"/>
      <c r="K72" s="28" t="n"/>
      <c r="L72" s="23" t="n"/>
      <c r="M72" s="23" t="n"/>
      <c r="N72" s="27" t="n"/>
      <c r="O72" s="29" t="n"/>
      <c r="P72" s="27" t="n"/>
      <c r="Q72" s="27" t="n"/>
      <c r="R72" s="23">
        <f>IF(OR(I72="",J72="Done"),"",IF(I72&lt;TODAY(),"OVERDUE",""))</f>
        <v/>
      </c>
      <c r="S72" s="23" t="n"/>
    </row>
    <row r="73">
      <c r="A73" s="23" t="n"/>
      <c r="B73" s="23" t="n"/>
      <c r="C73" s="23" t="n"/>
      <c r="D73" s="23" t="n"/>
      <c r="E73" s="23" t="n"/>
      <c r="F73" s="23" t="n"/>
      <c r="G73" s="23">
        <f>IF(F73="","",IF(F73="All","Whole team",IFERROR(INDEX(Team!$B$5:$B$10,MATCH(F73,Team!$A$5:$A$10,0)),"")))</f>
        <v/>
      </c>
      <c r="H73" s="26" t="n"/>
      <c r="I73" s="26" t="n"/>
      <c r="J73" s="27" t="n"/>
      <c r="K73" s="28" t="n"/>
      <c r="L73" s="23" t="n"/>
      <c r="M73" s="23" t="n"/>
      <c r="N73" s="27" t="n"/>
      <c r="O73" s="29" t="n"/>
      <c r="P73" s="27" t="n"/>
      <c r="Q73" s="27" t="n"/>
      <c r="R73" s="23">
        <f>IF(OR(I73="",J73="Done"),"",IF(I73&lt;TODAY(),"OVERDUE",""))</f>
        <v/>
      </c>
      <c r="S73" s="23" t="n"/>
    </row>
    <row r="74">
      <c r="A74" s="23" t="n"/>
      <c r="B74" s="23" t="n"/>
      <c r="C74" s="23" t="n"/>
      <c r="D74" s="23" t="n"/>
      <c r="E74" s="23" t="n"/>
      <c r="F74" s="23" t="n"/>
      <c r="G74" s="23">
        <f>IF(F74="","",IF(F74="All","Whole team",IFERROR(INDEX(Team!$B$5:$B$10,MATCH(F74,Team!$A$5:$A$10,0)),"")))</f>
        <v/>
      </c>
      <c r="H74" s="26" t="n"/>
      <c r="I74" s="26" t="n"/>
      <c r="J74" s="27" t="n"/>
      <c r="K74" s="28" t="n"/>
      <c r="L74" s="23" t="n"/>
      <c r="M74" s="23" t="n"/>
      <c r="N74" s="27" t="n"/>
      <c r="O74" s="29" t="n"/>
      <c r="P74" s="27" t="n"/>
      <c r="Q74" s="27" t="n"/>
      <c r="R74" s="23">
        <f>IF(OR(I74="",J74="Done"),"",IF(I74&lt;TODAY(),"OVERDUE",""))</f>
        <v/>
      </c>
      <c r="S74" s="23" t="n"/>
    </row>
    <row r="75">
      <c r="A75" s="23" t="n"/>
      <c r="B75" s="23" t="n"/>
      <c r="C75" s="23" t="n"/>
      <c r="D75" s="23" t="n"/>
      <c r="E75" s="23" t="n"/>
      <c r="F75" s="23" t="n"/>
      <c r="G75" s="23">
        <f>IF(F75="","",IF(F75="All","Whole team",IFERROR(INDEX(Team!$B$5:$B$10,MATCH(F75,Team!$A$5:$A$10,0)),"")))</f>
        <v/>
      </c>
      <c r="H75" s="26" t="n"/>
      <c r="I75" s="26" t="n"/>
      <c r="J75" s="27" t="n"/>
      <c r="K75" s="28" t="n"/>
      <c r="L75" s="23" t="n"/>
      <c r="M75" s="23" t="n"/>
      <c r="N75" s="27" t="n"/>
      <c r="O75" s="29" t="n"/>
      <c r="P75" s="27" t="n"/>
      <c r="Q75" s="27" t="n"/>
      <c r="R75" s="23">
        <f>IF(OR(I75="",J75="Done"),"",IF(I75&lt;TODAY(),"OVERDUE",""))</f>
        <v/>
      </c>
      <c r="S75" s="23" t="n"/>
    </row>
    <row r="76">
      <c r="A76" s="23" t="n"/>
      <c r="B76" s="23" t="n"/>
      <c r="C76" s="23" t="n"/>
      <c r="D76" s="23" t="n"/>
      <c r="E76" s="23" t="n"/>
      <c r="F76" s="23" t="n"/>
      <c r="G76" s="23">
        <f>IF(F76="","",IF(F76="All","Whole team",IFERROR(INDEX(Team!$B$5:$B$10,MATCH(F76,Team!$A$5:$A$10,0)),"")))</f>
        <v/>
      </c>
      <c r="H76" s="26" t="n"/>
      <c r="I76" s="26" t="n"/>
      <c r="J76" s="27" t="n"/>
      <c r="K76" s="28" t="n"/>
      <c r="L76" s="23" t="n"/>
      <c r="M76" s="23" t="n"/>
      <c r="N76" s="27" t="n"/>
      <c r="O76" s="29" t="n"/>
      <c r="P76" s="27" t="n"/>
      <c r="Q76" s="27" t="n"/>
      <c r="R76" s="23">
        <f>IF(OR(I76="",J76="Done"),"",IF(I76&lt;TODAY(),"OVERDUE",""))</f>
        <v/>
      </c>
      <c r="S76" s="23" t="n"/>
    </row>
    <row r="77">
      <c r="A77" s="23" t="n"/>
      <c r="B77" s="23" t="n"/>
      <c r="C77" s="23" t="n"/>
      <c r="D77" s="23" t="n"/>
      <c r="E77" s="23" t="n"/>
      <c r="F77" s="23" t="n"/>
      <c r="G77" s="23">
        <f>IF(F77="","",IF(F77="All","Whole team",IFERROR(INDEX(Team!$B$5:$B$10,MATCH(F77,Team!$A$5:$A$10,0)),"")))</f>
        <v/>
      </c>
      <c r="H77" s="26" t="n"/>
      <c r="I77" s="26" t="n"/>
      <c r="J77" s="27" t="n"/>
      <c r="K77" s="28" t="n"/>
      <c r="L77" s="23" t="n"/>
      <c r="M77" s="23" t="n"/>
      <c r="N77" s="27" t="n"/>
      <c r="O77" s="29" t="n"/>
      <c r="P77" s="27" t="n"/>
      <c r="Q77" s="27" t="n"/>
      <c r="R77" s="23">
        <f>IF(OR(I77="",J77="Done"),"",IF(I77&lt;TODAY(),"OVERDUE",""))</f>
        <v/>
      </c>
      <c r="S77" s="23" t="n"/>
    </row>
    <row r="78">
      <c r="A78" s="23" t="n"/>
      <c r="B78" s="23" t="n"/>
      <c r="C78" s="23" t="n"/>
      <c r="D78" s="23" t="n"/>
      <c r="E78" s="23" t="n"/>
      <c r="F78" s="23" t="n"/>
      <c r="G78" s="23">
        <f>IF(F78="","",IF(F78="All","Whole team",IFERROR(INDEX(Team!$B$5:$B$10,MATCH(F78,Team!$A$5:$A$10,0)),"")))</f>
        <v/>
      </c>
      <c r="H78" s="26" t="n"/>
      <c r="I78" s="26" t="n"/>
      <c r="J78" s="27" t="n"/>
      <c r="K78" s="28" t="n"/>
      <c r="L78" s="23" t="n"/>
      <c r="M78" s="23" t="n"/>
      <c r="N78" s="27" t="n"/>
      <c r="O78" s="29" t="n"/>
      <c r="P78" s="27" t="n"/>
      <c r="Q78" s="27" t="n"/>
      <c r="R78" s="23">
        <f>IF(OR(I78="",J78="Done"),"",IF(I78&lt;TODAY(),"OVERDUE",""))</f>
        <v/>
      </c>
      <c r="S78" s="23" t="n"/>
    </row>
    <row r="79">
      <c r="A79" s="23" t="n"/>
      <c r="B79" s="23" t="n"/>
      <c r="C79" s="23" t="n"/>
      <c r="D79" s="23" t="n"/>
      <c r="E79" s="23" t="n"/>
      <c r="F79" s="23" t="n"/>
      <c r="G79" s="23">
        <f>IF(F79="","",IF(F79="All","Whole team",IFERROR(INDEX(Team!$B$5:$B$10,MATCH(F79,Team!$A$5:$A$10,0)),"")))</f>
        <v/>
      </c>
      <c r="H79" s="26" t="n"/>
      <c r="I79" s="26" t="n"/>
      <c r="J79" s="27" t="n"/>
      <c r="K79" s="28" t="n"/>
      <c r="L79" s="23" t="n"/>
      <c r="M79" s="23" t="n"/>
      <c r="N79" s="27" t="n"/>
      <c r="O79" s="29" t="n"/>
      <c r="P79" s="27" t="n"/>
      <c r="Q79" s="27" t="n"/>
      <c r="R79" s="23">
        <f>IF(OR(I79="",J79="Done"),"",IF(I79&lt;TODAY(),"OVERDUE",""))</f>
        <v/>
      </c>
      <c r="S79" s="23" t="n"/>
    </row>
    <row r="80">
      <c r="A80" s="23" t="n"/>
      <c r="B80" s="23" t="n"/>
      <c r="C80" s="23" t="n"/>
      <c r="D80" s="23" t="n"/>
      <c r="E80" s="23" t="n"/>
      <c r="F80" s="23" t="n"/>
      <c r="G80" s="23">
        <f>IF(F80="","",IF(F80="All","Whole team",IFERROR(INDEX(Team!$B$5:$B$10,MATCH(F80,Team!$A$5:$A$10,0)),"")))</f>
        <v/>
      </c>
      <c r="H80" s="26" t="n"/>
      <c r="I80" s="26" t="n"/>
      <c r="J80" s="27" t="n"/>
      <c r="K80" s="28" t="n"/>
      <c r="L80" s="23" t="n"/>
      <c r="M80" s="23" t="n"/>
      <c r="N80" s="27" t="n"/>
      <c r="O80" s="29" t="n"/>
      <c r="P80" s="27" t="n"/>
      <c r="Q80" s="27" t="n"/>
      <c r="R80" s="23">
        <f>IF(OR(I80="",J80="Done"),"",IF(I80&lt;TODAY(),"OVERDUE",""))</f>
        <v/>
      </c>
      <c r="S80" s="23" t="n"/>
    </row>
    <row r="81">
      <c r="A81" s="23" t="n"/>
      <c r="B81" s="23" t="n"/>
      <c r="C81" s="23" t="n"/>
      <c r="D81" s="23" t="n"/>
      <c r="E81" s="23" t="n"/>
      <c r="F81" s="23" t="n"/>
      <c r="G81" s="23">
        <f>IF(F81="","",IF(F81="All","Whole team",IFERROR(INDEX(Team!$B$5:$B$10,MATCH(F81,Team!$A$5:$A$10,0)),"")))</f>
        <v/>
      </c>
      <c r="H81" s="26" t="n"/>
      <c r="I81" s="26" t="n"/>
      <c r="J81" s="27" t="n"/>
      <c r="K81" s="28" t="n"/>
      <c r="L81" s="23" t="n"/>
      <c r="M81" s="23" t="n"/>
      <c r="N81" s="27" t="n"/>
      <c r="O81" s="29" t="n"/>
      <c r="P81" s="27" t="n"/>
      <c r="Q81" s="27" t="n"/>
      <c r="R81" s="23">
        <f>IF(OR(I81="",J81="Done"),"",IF(I81&lt;TODAY(),"OVERDUE",""))</f>
        <v/>
      </c>
      <c r="S81" s="23" t="n"/>
    </row>
    <row r="82">
      <c r="A82" s="23" t="n"/>
      <c r="B82" s="23" t="n"/>
      <c r="C82" s="23" t="n"/>
      <c r="D82" s="23" t="n"/>
      <c r="E82" s="23" t="n"/>
      <c r="F82" s="23" t="n"/>
      <c r="G82" s="23">
        <f>IF(F82="","",IF(F82="All","Whole team",IFERROR(INDEX(Team!$B$5:$B$10,MATCH(F82,Team!$A$5:$A$10,0)),"")))</f>
        <v/>
      </c>
      <c r="H82" s="26" t="n"/>
      <c r="I82" s="26" t="n"/>
      <c r="J82" s="27" t="n"/>
      <c r="K82" s="28" t="n"/>
      <c r="L82" s="23" t="n"/>
      <c r="M82" s="23" t="n"/>
      <c r="N82" s="27" t="n"/>
      <c r="O82" s="29" t="n"/>
      <c r="P82" s="27" t="n"/>
      <c r="Q82" s="27" t="n"/>
      <c r="R82" s="23">
        <f>IF(OR(I82="",J82="Done"),"",IF(I82&lt;TODAY(),"OVERDUE",""))</f>
        <v/>
      </c>
      <c r="S82" s="23" t="n"/>
    </row>
    <row r="83">
      <c r="A83" s="23" t="n"/>
      <c r="B83" s="23" t="n"/>
      <c r="C83" s="23" t="n"/>
      <c r="D83" s="23" t="n"/>
      <c r="E83" s="23" t="n"/>
      <c r="F83" s="23" t="n"/>
      <c r="G83" s="23">
        <f>IF(F83="","",IF(F83="All","Whole team",IFERROR(INDEX(Team!$B$5:$B$10,MATCH(F83,Team!$A$5:$A$10,0)),"")))</f>
        <v/>
      </c>
      <c r="H83" s="26" t="n"/>
      <c r="I83" s="26" t="n"/>
      <c r="J83" s="27" t="n"/>
      <c r="K83" s="28" t="n"/>
      <c r="L83" s="23" t="n"/>
      <c r="M83" s="23" t="n"/>
      <c r="N83" s="27" t="n"/>
      <c r="O83" s="29" t="n"/>
      <c r="P83" s="27" t="n"/>
      <c r="Q83" s="27" t="n"/>
      <c r="R83" s="23">
        <f>IF(OR(I83="",J83="Done"),"",IF(I83&lt;TODAY(),"OVERDUE",""))</f>
        <v/>
      </c>
      <c r="S83" s="23" t="n"/>
    </row>
    <row r="84">
      <c r="A84" s="23" t="n"/>
      <c r="B84" s="23" t="n"/>
      <c r="C84" s="23" t="n"/>
      <c r="D84" s="23" t="n"/>
      <c r="E84" s="23" t="n"/>
      <c r="F84" s="23" t="n"/>
      <c r="G84" s="23">
        <f>IF(F84="","",IF(F84="All","Whole team",IFERROR(INDEX(Team!$B$5:$B$10,MATCH(F84,Team!$A$5:$A$10,0)),"")))</f>
        <v/>
      </c>
      <c r="H84" s="26" t="n"/>
      <c r="I84" s="26" t="n"/>
      <c r="J84" s="27" t="n"/>
      <c r="K84" s="28" t="n"/>
      <c r="L84" s="23" t="n"/>
      <c r="M84" s="23" t="n"/>
      <c r="N84" s="27" t="n"/>
      <c r="O84" s="29" t="n"/>
      <c r="P84" s="27" t="n"/>
      <c r="Q84" s="27" t="n"/>
      <c r="R84" s="23">
        <f>IF(OR(I84="",J84="Done"),"",IF(I84&lt;TODAY(),"OVERDUE",""))</f>
        <v/>
      </c>
      <c r="S84" s="23" t="n"/>
    </row>
    <row r="85">
      <c r="A85" s="23" t="n"/>
      <c r="B85" s="23" t="n"/>
      <c r="C85" s="23" t="n"/>
      <c r="D85" s="23" t="n"/>
      <c r="E85" s="23" t="n"/>
      <c r="F85" s="23" t="n"/>
      <c r="G85" s="23">
        <f>IF(F85="","",IF(F85="All","Whole team",IFERROR(INDEX(Team!$B$5:$B$10,MATCH(F85,Team!$A$5:$A$10,0)),"")))</f>
        <v/>
      </c>
      <c r="H85" s="26" t="n"/>
      <c r="I85" s="26" t="n"/>
      <c r="J85" s="27" t="n"/>
      <c r="K85" s="28" t="n"/>
      <c r="L85" s="23" t="n"/>
      <c r="M85" s="23" t="n"/>
      <c r="N85" s="27" t="n"/>
      <c r="O85" s="29" t="n"/>
      <c r="P85" s="27" t="n"/>
      <c r="Q85" s="27" t="n"/>
      <c r="R85" s="23">
        <f>IF(OR(I85="",J85="Done"),"",IF(I85&lt;TODAY(),"OVERDUE",""))</f>
        <v/>
      </c>
      <c r="S85" s="23" t="n"/>
    </row>
    <row r="86">
      <c r="A86" s="23" t="n"/>
      <c r="B86" s="23" t="n"/>
      <c r="C86" s="23" t="n"/>
      <c r="D86" s="23" t="n"/>
      <c r="E86" s="23" t="n"/>
      <c r="F86" s="23" t="n"/>
      <c r="G86" s="23">
        <f>IF(F86="","",IF(F86="All","Whole team",IFERROR(INDEX(Team!$B$5:$B$10,MATCH(F86,Team!$A$5:$A$10,0)),"")))</f>
        <v/>
      </c>
      <c r="H86" s="26" t="n"/>
      <c r="I86" s="26" t="n"/>
      <c r="J86" s="27" t="n"/>
      <c r="K86" s="28" t="n"/>
      <c r="L86" s="23" t="n"/>
      <c r="M86" s="23" t="n"/>
      <c r="N86" s="27" t="n"/>
      <c r="O86" s="29" t="n"/>
      <c r="P86" s="27" t="n"/>
      <c r="Q86" s="27" t="n"/>
      <c r="R86" s="23">
        <f>IF(OR(I86="",J86="Done"),"",IF(I86&lt;TODAY(),"OVERDUE",""))</f>
        <v/>
      </c>
      <c r="S86" s="23" t="n"/>
    </row>
    <row r="87">
      <c r="A87" s="23" t="n"/>
      <c r="B87" s="23" t="n"/>
      <c r="C87" s="23" t="n"/>
      <c r="D87" s="23" t="n"/>
      <c r="E87" s="23" t="n"/>
      <c r="F87" s="23" t="n"/>
      <c r="G87" s="23">
        <f>IF(F87="","",IF(F87="All","Whole team",IFERROR(INDEX(Team!$B$5:$B$10,MATCH(F87,Team!$A$5:$A$10,0)),"")))</f>
        <v/>
      </c>
      <c r="H87" s="26" t="n"/>
      <c r="I87" s="26" t="n"/>
      <c r="J87" s="27" t="n"/>
      <c r="K87" s="28" t="n"/>
      <c r="L87" s="23" t="n"/>
      <c r="M87" s="23" t="n"/>
      <c r="N87" s="27" t="n"/>
      <c r="O87" s="29" t="n"/>
      <c r="P87" s="27" t="n"/>
      <c r="Q87" s="27" t="n"/>
      <c r="R87" s="23">
        <f>IF(OR(I87="",J87="Done"),"",IF(I87&lt;TODAY(),"OVERDUE",""))</f>
        <v/>
      </c>
      <c r="S87" s="23" t="n"/>
    </row>
    <row r="88">
      <c r="A88" s="23" t="n"/>
      <c r="B88" s="23" t="n"/>
      <c r="C88" s="23" t="n"/>
      <c r="D88" s="23" t="n"/>
      <c r="E88" s="23" t="n"/>
      <c r="F88" s="23" t="n"/>
      <c r="G88" s="23">
        <f>IF(F88="","",IF(F88="All","Whole team",IFERROR(INDEX(Team!$B$5:$B$10,MATCH(F88,Team!$A$5:$A$10,0)),"")))</f>
        <v/>
      </c>
      <c r="H88" s="26" t="n"/>
      <c r="I88" s="26" t="n"/>
      <c r="J88" s="27" t="n"/>
      <c r="K88" s="28" t="n"/>
      <c r="L88" s="23" t="n"/>
      <c r="M88" s="23" t="n"/>
      <c r="N88" s="27" t="n"/>
      <c r="O88" s="29" t="n"/>
      <c r="P88" s="27" t="n"/>
      <c r="Q88" s="27" t="n"/>
      <c r="R88" s="23">
        <f>IF(OR(I88="",J88="Done"),"",IF(I88&lt;TODAY(),"OVERDUE",""))</f>
        <v/>
      </c>
      <c r="S88" s="23" t="n"/>
    </row>
    <row r="89">
      <c r="A89" s="23" t="n"/>
      <c r="B89" s="23" t="n"/>
      <c r="C89" s="23" t="n"/>
      <c r="D89" s="23" t="n"/>
      <c r="E89" s="23" t="n"/>
      <c r="F89" s="23" t="n"/>
      <c r="G89" s="23">
        <f>IF(F89="","",IF(F89="All","Whole team",IFERROR(INDEX(Team!$B$5:$B$10,MATCH(F89,Team!$A$5:$A$10,0)),"")))</f>
        <v/>
      </c>
      <c r="H89" s="26" t="n"/>
      <c r="I89" s="26" t="n"/>
      <c r="J89" s="27" t="n"/>
      <c r="K89" s="28" t="n"/>
      <c r="L89" s="23" t="n"/>
      <c r="M89" s="23" t="n"/>
      <c r="N89" s="27" t="n"/>
      <c r="O89" s="29" t="n"/>
      <c r="P89" s="27" t="n"/>
      <c r="Q89" s="27" t="n"/>
      <c r="R89" s="23">
        <f>IF(OR(I89="",J89="Done"),"",IF(I89&lt;TODAY(),"OVERDUE",""))</f>
        <v/>
      </c>
      <c r="S89" s="23" t="n"/>
    </row>
    <row r="90">
      <c r="A90" s="23" t="n"/>
      <c r="B90" s="23" t="n"/>
      <c r="C90" s="23" t="n"/>
      <c r="D90" s="23" t="n"/>
      <c r="E90" s="23" t="n"/>
      <c r="F90" s="23" t="n"/>
      <c r="G90" s="23">
        <f>IF(F90="","",IF(F90="All","Whole team",IFERROR(INDEX(Team!$B$5:$B$10,MATCH(F90,Team!$A$5:$A$10,0)),"")))</f>
        <v/>
      </c>
      <c r="H90" s="26" t="n"/>
      <c r="I90" s="26" t="n"/>
      <c r="J90" s="27" t="n"/>
      <c r="K90" s="28" t="n"/>
      <c r="L90" s="23" t="n"/>
      <c r="M90" s="23" t="n"/>
      <c r="N90" s="27" t="n"/>
      <c r="O90" s="29" t="n"/>
      <c r="P90" s="27" t="n"/>
      <c r="Q90" s="27" t="n"/>
      <c r="R90" s="23">
        <f>IF(OR(I90="",J90="Done"),"",IF(I90&lt;TODAY(),"OVERDUE",""))</f>
        <v/>
      </c>
      <c r="S90" s="23" t="n"/>
    </row>
    <row r="91">
      <c r="A91" s="23" t="n"/>
      <c r="B91" s="23" t="n"/>
      <c r="C91" s="23" t="n"/>
      <c r="D91" s="23" t="n"/>
      <c r="E91" s="23" t="n"/>
      <c r="F91" s="23" t="n"/>
      <c r="G91" s="23">
        <f>IF(F91="","",IF(F91="All","Whole team",IFERROR(INDEX(Team!$B$5:$B$10,MATCH(F91,Team!$A$5:$A$10,0)),"")))</f>
        <v/>
      </c>
      <c r="H91" s="26" t="n"/>
      <c r="I91" s="26" t="n"/>
      <c r="J91" s="27" t="n"/>
      <c r="K91" s="28" t="n"/>
      <c r="L91" s="23" t="n"/>
      <c r="M91" s="23" t="n"/>
      <c r="N91" s="27" t="n"/>
      <c r="O91" s="29" t="n"/>
      <c r="P91" s="27" t="n"/>
      <c r="Q91" s="27" t="n"/>
      <c r="R91" s="23">
        <f>IF(OR(I91="",J91="Done"),"",IF(I91&lt;TODAY(),"OVERDUE",""))</f>
        <v/>
      </c>
      <c r="S91" s="23" t="n"/>
    </row>
    <row r="92">
      <c r="A92" s="23" t="n"/>
      <c r="B92" s="23" t="n"/>
      <c r="C92" s="23" t="n"/>
      <c r="D92" s="23" t="n"/>
      <c r="E92" s="23" t="n"/>
      <c r="F92" s="23" t="n"/>
      <c r="G92" s="23">
        <f>IF(F92="","",IF(F92="All","Whole team",IFERROR(INDEX(Team!$B$5:$B$10,MATCH(F92,Team!$A$5:$A$10,0)),"")))</f>
        <v/>
      </c>
      <c r="H92" s="26" t="n"/>
      <c r="I92" s="26" t="n"/>
      <c r="J92" s="27" t="n"/>
      <c r="K92" s="28" t="n"/>
      <c r="L92" s="23" t="n"/>
      <c r="M92" s="23" t="n"/>
      <c r="N92" s="27" t="n"/>
      <c r="O92" s="29" t="n"/>
      <c r="P92" s="27" t="n"/>
      <c r="Q92" s="27" t="n"/>
      <c r="R92" s="23">
        <f>IF(OR(I92="",J92="Done"),"",IF(I92&lt;TODAY(),"OVERDUE",""))</f>
        <v/>
      </c>
      <c r="S92" s="23" t="n"/>
    </row>
    <row r="93">
      <c r="A93" s="23" t="n"/>
      <c r="B93" s="23" t="n"/>
      <c r="C93" s="23" t="n"/>
      <c r="D93" s="23" t="n"/>
      <c r="E93" s="23" t="n"/>
      <c r="F93" s="23" t="n"/>
      <c r="G93" s="23">
        <f>IF(F93="","",IF(F93="All","Whole team",IFERROR(INDEX(Team!$B$5:$B$10,MATCH(F93,Team!$A$5:$A$10,0)),"")))</f>
        <v/>
      </c>
      <c r="H93" s="26" t="n"/>
      <c r="I93" s="26" t="n"/>
      <c r="J93" s="27" t="n"/>
      <c r="K93" s="28" t="n"/>
      <c r="L93" s="23" t="n"/>
      <c r="M93" s="23" t="n"/>
      <c r="N93" s="27" t="n"/>
      <c r="O93" s="29" t="n"/>
      <c r="P93" s="27" t="n"/>
      <c r="Q93" s="27" t="n"/>
      <c r="R93" s="23">
        <f>IF(OR(I93="",J93="Done"),"",IF(I93&lt;TODAY(),"OVERDUE",""))</f>
        <v/>
      </c>
      <c r="S93" s="23" t="n"/>
    </row>
    <row r="94">
      <c r="A94" s="23" t="n"/>
      <c r="B94" s="23" t="n"/>
      <c r="C94" s="23" t="n"/>
      <c r="D94" s="23" t="n"/>
      <c r="E94" s="23" t="n"/>
      <c r="F94" s="23" t="n"/>
      <c r="G94" s="23">
        <f>IF(F94="","",IF(F94="All","Whole team",IFERROR(INDEX(Team!$B$5:$B$10,MATCH(F94,Team!$A$5:$A$10,0)),"")))</f>
        <v/>
      </c>
      <c r="H94" s="26" t="n"/>
      <c r="I94" s="26" t="n"/>
      <c r="J94" s="27" t="n"/>
      <c r="K94" s="28" t="n"/>
      <c r="L94" s="23" t="n"/>
      <c r="M94" s="23" t="n"/>
      <c r="N94" s="27" t="n"/>
      <c r="O94" s="29" t="n"/>
      <c r="P94" s="27" t="n"/>
      <c r="Q94" s="27" t="n"/>
      <c r="R94" s="23">
        <f>IF(OR(I94="",J94="Done"),"",IF(I94&lt;TODAY(),"OVERDUE",""))</f>
        <v/>
      </c>
      <c r="S94" s="23" t="n"/>
    </row>
    <row r="95">
      <c r="A95" s="23" t="n"/>
      <c r="B95" s="23" t="n"/>
      <c r="C95" s="23" t="n"/>
      <c r="D95" s="23" t="n"/>
      <c r="E95" s="23" t="n"/>
      <c r="F95" s="23" t="n"/>
      <c r="G95" s="23">
        <f>IF(F95="","",IF(F95="All","Whole team",IFERROR(INDEX(Team!$B$5:$B$10,MATCH(F95,Team!$A$5:$A$10,0)),"")))</f>
        <v/>
      </c>
      <c r="H95" s="26" t="n"/>
      <c r="I95" s="26" t="n"/>
      <c r="J95" s="27" t="n"/>
      <c r="K95" s="28" t="n"/>
      <c r="L95" s="23" t="n"/>
      <c r="M95" s="23" t="n"/>
      <c r="N95" s="27" t="n"/>
      <c r="O95" s="29" t="n"/>
      <c r="P95" s="27" t="n"/>
      <c r="Q95" s="27" t="n"/>
      <c r="R95" s="23">
        <f>IF(OR(I95="",J95="Done"),"",IF(I95&lt;TODAY(),"OVERDUE",""))</f>
        <v/>
      </c>
      <c r="S95" s="23" t="n"/>
    </row>
    <row r="96">
      <c r="A96" s="23" t="n"/>
      <c r="B96" s="23" t="n"/>
      <c r="C96" s="23" t="n"/>
      <c r="D96" s="23" t="n"/>
      <c r="E96" s="23" t="n"/>
      <c r="F96" s="23" t="n"/>
      <c r="G96" s="23">
        <f>IF(F96="","",IF(F96="All","Whole team",IFERROR(INDEX(Team!$B$5:$B$10,MATCH(F96,Team!$A$5:$A$10,0)),"")))</f>
        <v/>
      </c>
      <c r="H96" s="26" t="n"/>
      <c r="I96" s="26" t="n"/>
      <c r="J96" s="27" t="n"/>
      <c r="K96" s="28" t="n"/>
      <c r="L96" s="23" t="n"/>
      <c r="M96" s="23" t="n"/>
      <c r="N96" s="27" t="n"/>
      <c r="O96" s="29" t="n"/>
      <c r="P96" s="27" t="n"/>
      <c r="Q96" s="27" t="n"/>
      <c r="R96" s="23">
        <f>IF(OR(I96="",J96="Done"),"",IF(I96&lt;TODAY(),"OVERDUE",""))</f>
        <v/>
      </c>
      <c r="S96" s="23" t="n"/>
    </row>
    <row r="97">
      <c r="A97" s="23" t="n"/>
      <c r="B97" s="23" t="n"/>
      <c r="C97" s="23" t="n"/>
      <c r="D97" s="23" t="n"/>
      <c r="E97" s="23" t="n"/>
      <c r="F97" s="23" t="n"/>
      <c r="G97" s="23">
        <f>IF(F97="","",IF(F97="All","Whole team",IFERROR(INDEX(Team!$B$5:$B$10,MATCH(F97,Team!$A$5:$A$10,0)),"")))</f>
        <v/>
      </c>
      <c r="H97" s="26" t="n"/>
      <c r="I97" s="26" t="n"/>
      <c r="J97" s="27" t="n"/>
      <c r="K97" s="28" t="n"/>
      <c r="L97" s="23" t="n"/>
      <c r="M97" s="23" t="n"/>
      <c r="N97" s="27" t="n"/>
      <c r="O97" s="29" t="n"/>
      <c r="P97" s="27" t="n"/>
      <c r="Q97" s="27" t="n"/>
      <c r="R97" s="23">
        <f>IF(OR(I97="",J97="Done"),"",IF(I97&lt;TODAY(),"OVERDUE",""))</f>
        <v/>
      </c>
      <c r="S97" s="23" t="n"/>
    </row>
    <row r="98">
      <c r="A98" s="23" t="n"/>
      <c r="B98" s="23" t="n"/>
      <c r="C98" s="23" t="n"/>
      <c r="D98" s="23" t="n"/>
      <c r="E98" s="23" t="n"/>
      <c r="F98" s="23" t="n"/>
      <c r="G98" s="23">
        <f>IF(F98="","",IF(F98="All","Whole team",IFERROR(INDEX(Team!$B$5:$B$10,MATCH(F98,Team!$A$5:$A$10,0)),"")))</f>
        <v/>
      </c>
      <c r="H98" s="26" t="n"/>
      <c r="I98" s="26" t="n"/>
      <c r="J98" s="27" t="n"/>
      <c r="K98" s="28" t="n"/>
      <c r="L98" s="23" t="n"/>
      <c r="M98" s="23" t="n"/>
      <c r="N98" s="27" t="n"/>
      <c r="O98" s="29" t="n"/>
      <c r="P98" s="27" t="n"/>
      <c r="Q98" s="27" t="n"/>
      <c r="R98" s="23">
        <f>IF(OR(I98="",J98="Done"),"",IF(I98&lt;TODAY(),"OVERDUE",""))</f>
        <v/>
      </c>
      <c r="S98" s="23" t="n"/>
    </row>
    <row r="99">
      <c r="A99" s="23" t="n"/>
      <c r="B99" s="23" t="n"/>
      <c r="C99" s="23" t="n"/>
      <c r="D99" s="23" t="n"/>
      <c r="E99" s="23" t="n"/>
      <c r="F99" s="23" t="n"/>
      <c r="G99" s="23">
        <f>IF(F99="","",IF(F99="All","Whole team",IFERROR(INDEX(Team!$B$5:$B$10,MATCH(F99,Team!$A$5:$A$10,0)),"")))</f>
        <v/>
      </c>
      <c r="H99" s="26" t="n"/>
      <c r="I99" s="26" t="n"/>
      <c r="J99" s="27" t="n"/>
      <c r="K99" s="28" t="n"/>
      <c r="L99" s="23" t="n"/>
      <c r="M99" s="23" t="n"/>
      <c r="N99" s="27" t="n"/>
      <c r="O99" s="29" t="n"/>
      <c r="P99" s="27" t="n"/>
      <c r="Q99" s="27" t="n"/>
      <c r="R99" s="23">
        <f>IF(OR(I99="",J99="Done"),"",IF(I99&lt;TODAY(),"OVERDUE",""))</f>
        <v/>
      </c>
      <c r="S99" s="23" t="n"/>
    </row>
    <row r="100">
      <c r="A100" s="23" t="n"/>
      <c r="B100" s="23" t="n"/>
      <c r="C100" s="23" t="n"/>
      <c r="D100" s="23" t="n"/>
      <c r="E100" s="23" t="n"/>
      <c r="F100" s="23" t="n"/>
      <c r="G100" s="23">
        <f>IF(F100="","",IF(F100="All","Whole team",IFERROR(INDEX(Team!$B$5:$B$10,MATCH(F100,Team!$A$5:$A$10,0)),"")))</f>
        <v/>
      </c>
      <c r="H100" s="26" t="n"/>
      <c r="I100" s="26" t="n"/>
      <c r="J100" s="27" t="n"/>
      <c r="K100" s="28" t="n"/>
      <c r="L100" s="23" t="n"/>
      <c r="M100" s="23" t="n"/>
      <c r="N100" s="27" t="n"/>
      <c r="O100" s="29" t="n"/>
      <c r="P100" s="27" t="n"/>
      <c r="Q100" s="27" t="n"/>
      <c r="R100" s="23">
        <f>IF(OR(I100="",J100="Done"),"",IF(I100&lt;TODAY(),"OVERDUE",""))</f>
        <v/>
      </c>
      <c r="S100" s="23" t="n"/>
    </row>
    <row r="101">
      <c r="A101" s="23" t="n"/>
      <c r="B101" s="23" t="n"/>
      <c r="C101" s="23" t="n"/>
      <c r="D101" s="23" t="n"/>
      <c r="E101" s="23" t="n"/>
      <c r="F101" s="23" t="n"/>
      <c r="G101" s="23">
        <f>IF(F101="","",IF(F101="All","Whole team",IFERROR(INDEX(Team!$B$5:$B$10,MATCH(F101,Team!$A$5:$A$10,0)),"")))</f>
        <v/>
      </c>
      <c r="H101" s="26" t="n"/>
      <c r="I101" s="26" t="n"/>
      <c r="J101" s="27" t="n"/>
      <c r="K101" s="28" t="n"/>
      <c r="L101" s="23" t="n"/>
      <c r="M101" s="23" t="n"/>
      <c r="N101" s="27" t="n"/>
      <c r="O101" s="29" t="n"/>
      <c r="P101" s="27" t="n"/>
      <c r="Q101" s="27" t="n"/>
      <c r="R101" s="23">
        <f>IF(OR(I101="",J101="Done"),"",IF(I101&lt;TODAY(),"OVERDUE",""))</f>
        <v/>
      </c>
      <c r="S101" s="23" t="n"/>
    </row>
    <row r="102">
      <c r="A102" s="23" t="n"/>
      <c r="B102" s="23" t="n"/>
      <c r="C102" s="23" t="n"/>
      <c r="D102" s="23" t="n"/>
      <c r="E102" s="23" t="n"/>
      <c r="F102" s="23" t="n"/>
      <c r="G102" s="23">
        <f>IF(F102="","",IF(F102="All","Whole team",IFERROR(INDEX(Team!$B$5:$B$10,MATCH(F102,Team!$A$5:$A$10,0)),"")))</f>
        <v/>
      </c>
      <c r="H102" s="26" t="n"/>
      <c r="I102" s="26" t="n"/>
      <c r="J102" s="27" t="n"/>
      <c r="K102" s="28" t="n"/>
      <c r="L102" s="23" t="n"/>
      <c r="M102" s="23" t="n"/>
      <c r="N102" s="27" t="n"/>
      <c r="O102" s="29" t="n"/>
      <c r="P102" s="27" t="n"/>
      <c r="Q102" s="27" t="n"/>
      <c r="R102" s="23">
        <f>IF(OR(I102="",J102="Done"),"",IF(I102&lt;TODAY(),"OVERDUE",""))</f>
        <v/>
      </c>
      <c r="S102" s="23" t="n"/>
    </row>
    <row r="103">
      <c r="A103" s="23" t="n"/>
      <c r="B103" s="23" t="n"/>
      <c r="C103" s="23" t="n"/>
      <c r="D103" s="23" t="n"/>
      <c r="E103" s="23" t="n"/>
      <c r="F103" s="23" t="n"/>
      <c r="G103" s="23">
        <f>IF(F103="","",IF(F103="All","Whole team",IFERROR(INDEX(Team!$B$5:$B$10,MATCH(F103,Team!$A$5:$A$10,0)),"")))</f>
        <v/>
      </c>
      <c r="H103" s="26" t="n"/>
      <c r="I103" s="26" t="n"/>
      <c r="J103" s="27" t="n"/>
      <c r="K103" s="28" t="n"/>
      <c r="L103" s="23" t="n"/>
      <c r="M103" s="23" t="n"/>
      <c r="N103" s="27" t="n"/>
      <c r="O103" s="29" t="n"/>
      <c r="P103" s="27" t="n"/>
      <c r="Q103" s="27" t="n"/>
      <c r="R103" s="23">
        <f>IF(OR(I103="",J103="Done"),"",IF(I103&lt;TODAY(),"OVERDUE",""))</f>
        <v/>
      </c>
      <c r="S103" s="23" t="n"/>
    </row>
    <row r="104">
      <c r="A104" s="23" t="n"/>
      <c r="B104" s="23" t="n"/>
      <c r="C104" s="23" t="n"/>
      <c r="D104" s="23" t="n"/>
      <c r="E104" s="23" t="n"/>
      <c r="F104" s="23" t="n"/>
      <c r="G104" s="23">
        <f>IF(F104="","",IF(F104="All","Whole team",IFERROR(INDEX(Team!$B$5:$B$10,MATCH(F104,Team!$A$5:$A$10,0)),"")))</f>
        <v/>
      </c>
      <c r="H104" s="26" t="n"/>
      <c r="I104" s="26" t="n"/>
      <c r="J104" s="27" t="n"/>
      <c r="K104" s="28" t="n"/>
      <c r="L104" s="23" t="n"/>
      <c r="M104" s="23" t="n"/>
      <c r="N104" s="27" t="n"/>
      <c r="O104" s="29" t="n"/>
      <c r="P104" s="27" t="n"/>
      <c r="Q104" s="27" t="n"/>
      <c r="R104" s="23">
        <f>IF(OR(I104="",J104="Done"),"",IF(I104&lt;TODAY(),"OVERDUE",""))</f>
        <v/>
      </c>
      <c r="S104" s="23" t="n"/>
    </row>
    <row r="105">
      <c r="A105" s="23" t="n"/>
      <c r="B105" s="23" t="n"/>
      <c r="C105" s="23" t="n"/>
      <c r="D105" s="23" t="n"/>
      <c r="E105" s="23" t="n"/>
      <c r="F105" s="23" t="n"/>
      <c r="G105" s="23">
        <f>IF(F105="","",IF(F105="All","Whole team",IFERROR(INDEX(Team!$B$5:$B$10,MATCH(F105,Team!$A$5:$A$10,0)),"")))</f>
        <v/>
      </c>
      <c r="H105" s="26" t="n"/>
      <c r="I105" s="26" t="n"/>
      <c r="J105" s="27" t="n"/>
      <c r="K105" s="28" t="n"/>
      <c r="L105" s="23" t="n"/>
      <c r="M105" s="23" t="n"/>
      <c r="N105" s="27" t="n"/>
      <c r="O105" s="29" t="n"/>
      <c r="P105" s="27" t="n"/>
      <c r="Q105" s="27" t="n"/>
      <c r="R105" s="23">
        <f>IF(OR(I105="",J105="Done"),"",IF(I105&lt;TODAY(),"OVERDUE",""))</f>
        <v/>
      </c>
      <c r="S105" s="23" t="n"/>
    </row>
    <row r="106">
      <c r="A106" s="23" t="n"/>
      <c r="B106" s="23" t="n"/>
      <c r="C106" s="23" t="n"/>
      <c r="D106" s="23" t="n"/>
      <c r="E106" s="23" t="n"/>
      <c r="F106" s="23" t="n"/>
      <c r="G106" s="23">
        <f>IF(F106="","",IF(F106="All","Whole team",IFERROR(INDEX(Team!$B$5:$B$10,MATCH(F106,Team!$A$5:$A$10,0)),"")))</f>
        <v/>
      </c>
      <c r="H106" s="26" t="n"/>
      <c r="I106" s="26" t="n"/>
      <c r="J106" s="27" t="n"/>
      <c r="K106" s="28" t="n"/>
      <c r="L106" s="23" t="n"/>
      <c r="M106" s="23" t="n"/>
      <c r="N106" s="27" t="n"/>
      <c r="O106" s="29" t="n"/>
      <c r="P106" s="27" t="n"/>
      <c r="Q106" s="27" t="n"/>
      <c r="R106" s="23">
        <f>IF(OR(I106="",J106="Done"),"",IF(I106&lt;TODAY(),"OVERDUE",""))</f>
        <v/>
      </c>
      <c r="S106" s="23" t="n"/>
    </row>
    <row r="107">
      <c r="A107" s="23" t="n"/>
      <c r="B107" s="23" t="n"/>
      <c r="C107" s="23" t="n"/>
      <c r="D107" s="23" t="n"/>
      <c r="E107" s="23" t="n"/>
      <c r="F107" s="23" t="n"/>
      <c r="G107" s="23">
        <f>IF(F107="","",IF(F107="All","Whole team",IFERROR(INDEX(Team!$B$5:$B$10,MATCH(F107,Team!$A$5:$A$10,0)),"")))</f>
        <v/>
      </c>
      <c r="H107" s="26" t="n"/>
      <c r="I107" s="26" t="n"/>
      <c r="J107" s="27" t="n"/>
      <c r="K107" s="28" t="n"/>
      <c r="L107" s="23" t="n"/>
      <c r="M107" s="23" t="n"/>
      <c r="N107" s="27" t="n"/>
      <c r="O107" s="29" t="n"/>
      <c r="P107" s="27" t="n"/>
      <c r="Q107" s="27" t="n"/>
      <c r="R107" s="23">
        <f>IF(OR(I107="",J107="Done"),"",IF(I107&lt;TODAY(),"OVERDUE",""))</f>
        <v/>
      </c>
      <c r="S107" s="23" t="n"/>
    </row>
    <row r="108">
      <c r="A108" s="23" t="n"/>
      <c r="B108" s="23" t="n"/>
      <c r="C108" s="23" t="n"/>
      <c r="D108" s="23" t="n"/>
      <c r="E108" s="23" t="n"/>
      <c r="F108" s="23" t="n"/>
      <c r="G108" s="23">
        <f>IF(F108="","",IF(F108="All","Whole team",IFERROR(INDEX(Team!$B$5:$B$10,MATCH(F108,Team!$A$5:$A$10,0)),"")))</f>
        <v/>
      </c>
      <c r="H108" s="26" t="n"/>
      <c r="I108" s="26" t="n"/>
      <c r="J108" s="27" t="n"/>
      <c r="K108" s="28" t="n"/>
      <c r="L108" s="23" t="n"/>
      <c r="M108" s="23" t="n"/>
      <c r="N108" s="27" t="n"/>
      <c r="O108" s="29" t="n"/>
      <c r="P108" s="27" t="n"/>
      <c r="Q108" s="27" t="n"/>
      <c r="R108" s="23">
        <f>IF(OR(I108="",J108="Done"),"",IF(I108&lt;TODAY(),"OVERDUE",""))</f>
        <v/>
      </c>
      <c r="S108" s="23" t="n"/>
    </row>
    <row r="109">
      <c r="A109" s="23" t="n"/>
      <c r="B109" s="23" t="n"/>
      <c r="C109" s="23" t="n"/>
      <c r="D109" s="23" t="n"/>
      <c r="E109" s="23" t="n"/>
      <c r="F109" s="23" t="n"/>
      <c r="G109" s="23">
        <f>IF(F109="","",IF(F109="All","Whole team",IFERROR(INDEX(Team!$B$5:$B$10,MATCH(F109,Team!$A$5:$A$10,0)),"")))</f>
        <v/>
      </c>
      <c r="H109" s="26" t="n"/>
      <c r="I109" s="26" t="n"/>
      <c r="J109" s="27" t="n"/>
      <c r="K109" s="28" t="n"/>
      <c r="L109" s="23" t="n"/>
      <c r="M109" s="23" t="n"/>
      <c r="N109" s="27" t="n"/>
      <c r="O109" s="29" t="n"/>
      <c r="P109" s="27" t="n"/>
      <c r="Q109" s="27" t="n"/>
      <c r="R109" s="23">
        <f>IF(OR(I109="",J109="Done"),"",IF(I109&lt;TODAY(),"OVERDUE",""))</f>
        <v/>
      </c>
      <c r="S109" s="23" t="n"/>
    </row>
    <row r="110">
      <c r="A110" s="23" t="n"/>
      <c r="B110" s="23" t="n"/>
      <c r="C110" s="23" t="n"/>
      <c r="D110" s="23" t="n"/>
      <c r="E110" s="23" t="n"/>
      <c r="F110" s="23" t="n"/>
      <c r="G110" s="23">
        <f>IF(F110="","",IF(F110="All","Whole team",IFERROR(INDEX(Team!$B$5:$B$10,MATCH(F110,Team!$A$5:$A$10,0)),"")))</f>
        <v/>
      </c>
      <c r="H110" s="26" t="n"/>
      <c r="I110" s="26" t="n"/>
      <c r="J110" s="27" t="n"/>
      <c r="K110" s="28" t="n"/>
      <c r="L110" s="23" t="n"/>
      <c r="M110" s="23" t="n"/>
      <c r="N110" s="27" t="n"/>
      <c r="O110" s="29" t="n"/>
      <c r="P110" s="27" t="n"/>
      <c r="Q110" s="27" t="n"/>
      <c r="R110" s="23">
        <f>IF(OR(I110="",J110="Done"),"",IF(I110&lt;TODAY(),"OVERDUE",""))</f>
        <v/>
      </c>
      <c r="S110" s="23" t="n"/>
    </row>
    <row r="111">
      <c r="A111" s="23" t="n"/>
      <c r="B111" s="23" t="n"/>
      <c r="C111" s="23" t="n"/>
      <c r="D111" s="23" t="n"/>
      <c r="E111" s="23" t="n"/>
      <c r="F111" s="23" t="n"/>
      <c r="G111" s="23">
        <f>IF(F111="","",IF(F111="All","Whole team",IFERROR(INDEX(Team!$B$5:$B$10,MATCH(F111,Team!$A$5:$A$10,0)),"")))</f>
        <v/>
      </c>
      <c r="H111" s="26" t="n"/>
      <c r="I111" s="26" t="n"/>
      <c r="J111" s="27" t="n"/>
      <c r="K111" s="28" t="n"/>
      <c r="L111" s="23" t="n"/>
      <c r="M111" s="23" t="n"/>
      <c r="N111" s="27" t="n"/>
      <c r="O111" s="29" t="n"/>
      <c r="P111" s="27" t="n"/>
      <c r="Q111" s="27" t="n"/>
      <c r="R111" s="23">
        <f>IF(OR(I111="",J111="Done"),"",IF(I111&lt;TODAY(),"OVERDUE",""))</f>
        <v/>
      </c>
      <c r="S111" s="23" t="n"/>
    </row>
    <row r="112">
      <c r="A112" s="23" t="n"/>
      <c r="B112" s="23" t="n"/>
      <c r="C112" s="23" t="n"/>
      <c r="D112" s="23" t="n"/>
      <c r="E112" s="23" t="n"/>
      <c r="F112" s="23" t="n"/>
      <c r="G112" s="23">
        <f>IF(F112="","",IF(F112="All","Whole team",IFERROR(INDEX(Team!$B$5:$B$10,MATCH(F112,Team!$A$5:$A$10,0)),"")))</f>
        <v/>
      </c>
      <c r="H112" s="26" t="n"/>
      <c r="I112" s="26" t="n"/>
      <c r="J112" s="27" t="n"/>
      <c r="K112" s="28" t="n"/>
      <c r="L112" s="23" t="n"/>
      <c r="M112" s="23" t="n"/>
      <c r="N112" s="27" t="n"/>
      <c r="O112" s="29" t="n"/>
      <c r="P112" s="27" t="n"/>
      <c r="Q112" s="27" t="n"/>
      <c r="R112" s="23">
        <f>IF(OR(I112="",J112="Done"),"",IF(I112&lt;TODAY(),"OVERDUE",""))</f>
        <v/>
      </c>
      <c r="S112" s="23" t="n"/>
    </row>
    <row r="113">
      <c r="A113" s="23" t="n"/>
      <c r="B113" s="23" t="n"/>
      <c r="C113" s="23" t="n"/>
      <c r="D113" s="23" t="n"/>
      <c r="E113" s="23" t="n"/>
      <c r="F113" s="23" t="n"/>
      <c r="G113" s="23">
        <f>IF(F113="","",IF(F113="All","Whole team",IFERROR(INDEX(Team!$B$5:$B$10,MATCH(F113,Team!$A$5:$A$10,0)),"")))</f>
        <v/>
      </c>
      <c r="H113" s="26" t="n"/>
      <c r="I113" s="26" t="n"/>
      <c r="J113" s="27" t="n"/>
      <c r="K113" s="28" t="n"/>
      <c r="L113" s="23" t="n"/>
      <c r="M113" s="23" t="n"/>
      <c r="N113" s="27" t="n"/>
      <c r="O113" s="29" t="n"/>
      <c r="P113" s="27" t="n"/>
      <c r="Q113" s="27" t="n"/>
      <c r="R113" s="23">
        <f>IF(OR(I113="",J113="Done"),"",IF(I113&lt;TODAY(),"OVERDUE",""))</f>
        <v/>
      </c>
      <c r="S113" s="23" t="n"/>
    </row>
    <row r="114">
      <c r="A114" s="23" t="n"/>
      <c r="B114" s="23" t="n"/>
      <c r="C114" s="23" t="n"/>
      <c r="D114" s="23" t="n"/>
      <c r="E114" s="23" t="n"/>
      <c r="F114" s="23" t="n"/>
      <c r="G114" s="23">
        <f>IF(F114="","",IF(F114="All","Whole team",IFERROR(INDEX(Team!$B$5:$B$10,MATCH(F114,Team!$A$5:$A$10,0)),"")))</f>
        <v/>
      </c>
      <c r="H114" s="26" t="n"/>
      <c r="I114" s="26" t="n"/>
      <c r="J114" s="27" t="n"/>
      <c r="K114" s="28" t="n"/>
      <c r="L114" s="23" t="n"/>
      <c r="M114" s="23" t="n"/>
      <c r="N114" s="27" t="n"/>
      <c r="O114" s="29" t="n"/>
      <c r="P114" s="27" t="n"/>
      <c r="Q114" s="27" t="n"/>
      <c r="R114" s="23">
        <f>IF(OR(I114="",J114="Done"),"",IF(I114&lt;TODAY(),"OVERDUE",""))</f>
        <v/>
      </c>
      <c r="S114" s="23" t="n"/>
    </row>
    <row r="115">
      <c r="A115" s="23" t="n"/>
      <c r="B115" s="23" t="n"/>
      <c r="C115" s="23" t="n"/>
      <c r="D115" s="23" t="n"/>
      <c r="E115" s="23" t="n"/>
      <c r="F115" s="23" t="n"/>
      <c r="G115" s="23">
        <f>IF(F115="","",IF(F115="All","Whole team",IFERROR(INDEX(Team!$B$5:$B$10,MATCH(F115,Team!$A$5:$A$10,0)),"")))</f>
        <v/>
      </c>
      <c r="H115" s="26" t="n"/>
      <c r="I115" s="26" t="n"/>
      <c r="J115" s="27" t="n"/>
      <c r="K115" s="28" t="n"/>
      <c r="L115" s="23" t="n"/>
      <c r="M115" s="23" t="n"/>
      <c r="N115" s="27" t="n"/>
      <c r="O115" s="29" t="n"/>
      <c r="P115" s="27" t="n"/>
      <c r="Q115" s="27" t="n"/>
      <c r="R115" s="23">
        <f>IF(OR(I115="",J115="Done"),"",IF(I115&lt;TODAY(),"OVERDUE",""))</f>
        <v/>
      </c>
      <c r="S115" s="23" t="n"/>
    </row>
    <row r="116">
      <c r="A116" s="23" t="n"/>
      <c r="B116" s="23" t="n"/>
      <c r="C116" s="23" t="n"/>
      <c r="D116" s="23" t="n"/>
      <c r="E116" s="23" t="n"/>
      <c r="F116" s="23" t="n"/>
      <c r="G116" s="23">
        <f>IF(F116="","",IF(F116="All","Whole team",IFERROR(INDEX(Team!$B$5:$B$10,MATCH(F116,Team!$A$5:$A$10,0)),"")))</f>
        <v/>
      </c>
      <c r="H116" s="26" t="n"/>
      <c r="I116" s="26" t="n"/>
      <c r="J116" s="27" t="n"/>
      <c r="K116" s="28" t="n"/>
      <c r="L116" s="23" t="n"/>
      <c r="M116" s="23" t="n"/>
      <c r="N116" s="27" t="n"/>
      <c r="O116" s="29" t="n"/>
      <c r="P116" s="27" t="n"/>
      <c r="Q116" s="27" t="n"/>
      <c r="R116" s="23">
        <f>IF(OR(I116="",J116="Done"),"",IF(I116&lt;TODAY(),"OVERDUE",""))</f>
        <v/>
      </c>
      <c r="S116" s="23" t="n"/>
    </row>
    <row r="117">
      <c r="A117" s="23" t="n"/>
      <c r="B117" s="23" t="n"/>
      <c r="C117" s="23" t="n"/>
      <c r="D117" s="23" t="n"/>
      <c r="E117" s="23" t="n"/>
      <c r="F117" s="23" t="n"/>
      <c r="G117" s="23">
        <f>IF(F117="","",IF(F117="All","Whole team",IFERROR(INDEX(Team!$B$5:$B$10,MATCH(F117,Team!$A$5:$A$10,0)),"")))</f>
        <v/>
      </c>
      <c r="H117" s="26" t="n"/>
      <c r="I117" s="26" t="n"/>
      <c r="J117" s="27" t="n"/>
      <c r="K117" s="28" t="n"/>
      <c r="L117" s="23" t="n"/>
      <c r="M117" s="23" t="n"/>
      <c r="N117" s="27" t="n"/>
      <c r="O117" s="29" t="n"/>
      <c r="P117" s="27" t="n"/>
      <c r="Q117" s="27" t="n"/>
      <c r="R117" s="23">
        <f>IF(OR(I117="",J117="Done"),"",IF(I117&lt;TODAY(),"OVERDUE",""))</f>
        <v/>
      </c>
      <c r="S117" s="23" t="n"/>
    </row>
    <row r="118">
      <c r="A118" s="23" t="n"/>
      <c r="B118" s="23" t="n"/>
      <c r="C118" s="23" t="n"/>
      <c r="D118" s="23" t="n"/>
      <c r="E118" s="23" t="n"/>
      <c r="F118" s="23" t="n"/>
      <c r="G118" s="23">
        <f>IF(F118="","",IF(F118="All","Whole team",IFERROR(INDEX(Team!$B$5:$B$10,MATCH(F118,Team!$A$5:$A$10,0)),"")))</f>
        <v/>
      </c>
      <c r="H118" s="26" t="n"/>
      <c r="I118" s="26" t="n"/>
      <c r="J118" s="27" t="n"/>
      <c r="K118" s="28" t="n"/>
      <c r="L118" s="23" t="n"/>
      <c r="M118" s="23" t="n"/>
      <c r="N118" s="27" t="n"/>
      <c r="O118" s="29" t="n"/>
      <c r="P118" s="27" t="n"/>
      <c r="Q118" s="27" t="n"/>
      <c r="R118" s="23">
        <f>IF(OR(I118="",J118="Done"),"",IF(I118&lt;TODAY(),"OVERDUE",""))</f>
        <v/>
      </c>
      <c r="S118" s="23" t="n"/>
    </row>
    <row r="119">
      <c r="A119" s="23" t="n"/>
      <c r="B119" s="23" t="n"/>
      <c r="C119" s="23" t="n"/>
      <c r="D119" s="23" t="n"/>
      <c r="E119" s="23" t="n"/>
      <c r="F119" s="23" t="n"/>
      <c r="G119" s="23">
        <f>IF(F119="","",IF(F119="All","Whole team",IFERROR(INDEX(Team!$B$5:$B$10,MATCH(F119,Team!$A$5:$A$10,0)),"")))</f>
        <v/>
      </c>
      <c r="H119" s="26" t="n"/>
      <c r="I119" s="26" t="n"/>
      <c r="J119" s="27" t="n"/>
      <c r="K119" s="28" t="n"/>
      <c r="L119" s="23" t="n"/>
      <c r="M119" s="23" t="n"/>
      <c r="N119" s="27" t="n"/>
      <c r="O119" s="29" t="n"/>
      <c r="P119" s="27" t="n"/>
      <c r="Q119" s="27" t="n"/>
      <c r="R119" s="23">
        <f>IF(OR(I119="",J119="Done"),"",IF(I119&lt;TODAY(),"OVERDUE",""))</f>
        <v/>
      </c>
      <c r="S119" s="23" t="n"/>
    </row>
    <row r="120">
      <c r="A120" s="23" t="n"/>
      <c r="B120" s="23" t="n"/>
      <c r="C120" s="23" t="n"/>
      <c r="D120" s="23" t="n"/>
      <c r="E120" s="23" t="n"/>
      <c r="F120" s="23" t="n"/>
      <c r="G120" s="23">
        <f>IF(F120="","",IF(F120="All","Whole team",IFERROR(INDEX(Team!$B$5:$B$10,MATCH(F120,Team!$A$5:$A$10,0)),"")))</f>
        <v/>
      </c>
      <c r="H120" s="26" t="n"/>
      <c r="I120" s="26" t="n"/>
      <c r="J120" s="27" t="n"/>
      <c r="K120" s="28" t="n"/>
      <c r="L120" s="23" t="n"/>
      <c r="M120" s="23" t="n"/>
      <c r="N120" s="27" t="n"/>
      <c r="O120" s="29" t="n"/>
      <c r="P120" s="27" t="n"/>
      <c r="Q120" s="27" t="n"/>
      <c r="R120" s="23">
        <f>IF(OR(I120="",J120="Done"),"",IF(I120&lt;TODAY(),"OVERDUE",""))</f>
        <v/>
      </c>
      <c r="S120" s="23" t="n"/>
    </row>
    <row r="121">
      <c r="A121" s="23" t="n"/>
      <c r="B121" s="23" t="n"/>
      <c r="C121" s="23" t="n"/>
      <c r="D121" s="23" t="n"/>
      <c r="E121" s="23" t="n"/>
      <c r="F121" s="23" t="n"/>
      <c r="G121" s="23">
        <f>IF(F121="","",IF(F121="All","Whole team",IFERROR(INDEX(Team!$B$5:$B$10,MATCH(F121,Team!$A$5:$A$10,0)),"")))</f>
        <v/>
      </c>
      <c r="H121" s="26" t="n"/>
      <c r="I121" s="26" t="n"/>
      <c r="J121" s="27" t="n"/>
      <c r="K121" s="28" t="n"/>
      <c r="L121" s="23" t="n"/>
      <c r="M121" s="23" t="n"/>
      <c r="N121" s="27" t="n"/>
      <c r="O121" s="29" t="n"/>
      <c r="P121" s="27" t="n"/>
      <c r="Q121" s="27" t="n"/>
      <c r="R121" s="23">
        <f>IF(OR(I121="",J121="Done"),"",IF(I121&lt;TODAY(),"OVERDUE",""))</f>
        <v/>
      </c>
      <c r="S121" s="23" t="n"/>
    </row>
    <row r="122">
      <c r="A122" s="23" t="n"/>
      <c r="B122" s="23" t="n"/>
      <c r="C122" s="23" t="n"/>
      <c r="D122" s="23" t="n"/>
      <c r="E122" s="23" t="n"/>
      <c r="F122" s="23" t="n"/>
      <c r="G122" s="23">
        <f>IF(F122="","",IF(F122="All","Whole team",IFERROR(INDEX(Team!$B$5:$B$10,MATCH(F122,Team!$A$5:$A$10,0)),"")))</f>
        <v/>
      </c>
      <c r="H122" s="26" t="n"/>
      <c r="I122" s="26" t="n"/>
      <c r="J122" s="27" t="n"/>
      <c r="K122" s="28" t="n"/>
      <c r="L122" s="23" t="n"/>
      <c r="M122" s="23" t="n"/>
      <c r="N122" s="27" t="n"/>
      <c r="O122" s="29" t="n"/>
      <c r="P122" s="27" t="n"/>
      <c r="Q122" s="27" t="n"/>
      <c r="R122" s="23">
        <f>IF(OR(I122="",J122="Done"),"",IF(I122&lt;TODAY(),"OVERDUE",""))</f>
        <v/>
      </c>
      <c r="S122" s="23" t="n"/>
    </row>
    <row r="123">
      <c r="A123" s="23" t="n"/>
      <c r="B123" s="23" t="n"/>
      <c r="C123" s="23" t="n"/>
      <c r="D123" s="23" t="n"/>
      <c r="E123" s="23" t="n"/>
      <c r="F123" s="23" t="n"/>
      <c r="G123" s="23">
        <f>IF(F123="","",IF(F123="All","Whole team",IFERROR(INDEX(Team!$B$5:$B$10,MATCH(F123,Team!$A$5:$A$10,0)),"")))</f>
        <v/>
      </c>
      <c r="H123" s="26" t="n"/>
      <c r="I123" s="26" t="n"/>
      <c r="J123" s="27" t="n"/>
      <c r="K123" s="28" t="n"/>
      <c r="L123" s="23" t="n"/>
      <c r="M123" s="23" t="n"/>
      <c r="N123" s="27" t="n"/>
      <c r="O123" s="29" t="n"/>
      <c r="P123" s="27" t="n"/>
      <c r="Q123" s="27" t="n"/>
      <c r="R123" s="23">
        <f>IF(OR(I123="",J123="Done"),"",IF(I123&lt;TODAY(),"OVERDUE",""))</f>
        <v/>
      </c>
      <c r="S123" s="23" t="n"/>
    </row>
    <row r="124">
      <c r="A124" s="23" t="n"/>
      <c r="B124" s="23" t="n"/>
      <c r="C124" s="23" t="n"/>
      <c r="D124" s="23" t="n"/>
      <c r="E124" s="23" t="n"/>
      <c r="F124" s="23" t="n"/>
      <c r="G124" s="23">
        <f>IF(F124="","",IF(F124="All","Whole team",IFERROR(INDEX(Team!$B$5:$B$10,MATCH(F124,Team!$A$5:$A$10,0)),"")))</f>
        <v/>
      </c>
      <c r="H124" s="26" t="n"/>
      <c r="I124" s="26" t="n"/>
      <c r="J124" s="27" t="n"/>
      <c r="K124" s="28" t="n"/>
      <c r="L124" s="23" t="n"/>
      <c r="M124" s="23" t="n"/>
      <c r="N124" s="27" t="n"/>
      <c r="O124" s="29" t="n"/>
      <c r="P124" s="27" t="n"/>
      <c r="Q124" s="27" t="n"/>
      <c r="R124" s="23">
        <f>IF(OR(I124="",J124="Done"),"",IF(I124&lt;TODAY(),"OVERDUE",""))</f>
        <v/>
      </c>
      <c r="S124" s="23" t="n"/>
    </row>
    <row r="125">
      <c r="A125" s="23" t="n"/>
      <c r="B125" s="23" t="n"/>
      <c r="C125" s="23" t="n"/>
      <c r="D125" s="23" t="n"/>
      <c r="E125" s="23" t="n"/>
      <c r="F125" s="23" t="n"/>
      <c r="G125" s="23">
        <f>IF(F125="","",IF(F125="All","Whole team",IFERROR(INDEX(Team!$B$5:$B$10,MATCH(F125,Team!$A$5:$A$10,0)),"")))</f>
        <v/>
      </c>
      <c r="H125" s="26" t="n"/>
      <c r="I125" s="26" t="n"/>
      <c r="J125" s="27" t="n"/>
      <c r="K125" s="28" t="n"/>
      <c r="L125" s="23" t="n"/>
      <c r="M125" s="23" t="n"/>
      <c r="N125" s="27" t="n"/>
      <c r="O125" s="29" t="n"/>
      <c r="P125" s="27" t="n"/>
      <c r="Q125" s="27" t="n"/>
      <c r="R125" s="23">
        <f>IF(OR(I125="",J125="Done"),"",IF(I125&lt;TODAY(),"OVERDUE",""))</f>
        <v/>
      </c>
      <c r="S125" s="23" t="n"/>
    </row>
    <row r="126">
      <c r="A126" s="23" t="n"/>
      <c r="B126" s="23" t="n"/>
      <c r="C126" s="23" t="n"/>
      <c r="D126" s="23" t="n"/>
      <c r="E126" s="23" t="n"/>
      <c r="F126" s="23" t="n"/>
      <c r="G126" s="23">
        <f>IF(F126="","",IF(F126="All","Whole team",IFERROR(INDEX(Team!$B$5:$B$10,MATCH(F126,Team!$A$5:$A$10,0)),"")))</f>
        <v/>
      </c>
      <c r="H126" s="26" t="n"/>
      <c r="I126" s="26" t="n"/>
      <c r="J126" s="27" t="n"/>
      <c r="K126" s="28" t="n"/>
      <c r="L126" s="23" t="n"/>
      <c r="M126" s="23" t="n"/>
      <c r="N126" s="27" t="n"/>
      <c r="O126" s="29" t="n"/>
      <c r="P126" s="27" t="n"/>
      <c r="Q126" s="27" t="n"/>
      <c r="R126" s="23">
        <f>IF(OR(I126="",J126="Done"),"",IF(I126&lt;TODAY(),"OVERDUE",""))</f>
        <v/>
      </c>
      <c r="S126" s="23" t="n"/>
    </row>
    <row r="127">
      <c r="A127" s="23" t="n"/>
      <c r="B127" s="23" t="n"/>
      <c r="C127" s="23" t="n"/>
      <c r="D127" s="23" t="n"/>
      <c r="E127" s="23" t="n"/>
      <c r="F127" s="23" t="n"/>
      <c r="G127" s="23">
        <f>IF(F127="","",IF(F127="All","Whole team",IFERROR(INDEX(Team!$B$5:$B$10,MATCH(F127,Team!$A$5:$A$10,0)),"")))</f>
        <v/>
      </c>
      <c r="H127" s="26" t="n"/>
      <c r="I127" s="26" t="n"/>
      <c r="J127" s="27" t="n"/>
      <c r="K127" s="28" t="n"/>
      <c r="L127" s="23" t="n"/>
      <c r="M127" s="23" t="n"/>
      <c r="N127" s="27" t="n"/>
      <c r="O127" s="29" t="n"/>
      <c r="P127" s="27" t="n"/>
      <c r="Q127" s="27" t="n"/>
      <c r="R127" s="23">
        <f>IF(OR(I127="",J127="Done"),"",IF(I127&lt;TODAY(),"OVERDUE",""))</f>
        <v/>
      </c>
      <c r="S127" s="23" t="n"/>
    </row>
    <row r="128">
      <c r="A128" s="23" t="n"/>
      <c r="B128" s="23" t="n"/>
      <c r="C128" s="23" t="n"/>
      <c r="D128" s="23" t="n"/>
      <c r="E128" s="23" t="n"/>
      <c r="F128" s="23" t="n"/>
      <c r="G128" s="23">
        <f>IF(F128="","",IF(F128="All","Whole team",IFERROR(INDEX(Team!$B$5:$B$10,MATCH(F128,Team!$A$5:$A$10,0)),"")))</f>
        <v/>
      </c>
      <c r="H128" s="26" t="n"/>
      <c r="I128" s="26" t="n"/>
      <c r="J128" s="27" t="n"/>
      <c r="K128" s="28" t="n"/>
      <c r="L128" s="23" t="n"/>
      <c r="M128" s="23" t="n"/>
      <c r="N128" s="27" t="n"/>
      <c r="O128" s="29" t="n"/>
      <c r="P128" s="27" t="n"/>
      <c r="Q128" s="27" t="n"/>
      <c r="R128" s="23">
        <f>IF(OR(I128="",J128="Done"),"",IF(I128&lt;TODAY(),"OVERDUE",""))</f>
        <v/>
      </c>
      <c r="S128" s="23" t="n"/>
    </row>
    <row r="129">
      <c r="A129" s="23" t="n"/>
      <c r="B129" s="23" t="n"/>
      <c r="C129" s="23" t="n"/>
      <c r="D129" s="23" t="n"/>
      <c r="E129" s="23" t="n"/>
      <c r="F129" s="23" t="n"/>
      <c r="G129" s="23">
        <f>IF(F129="","",IF(F129="All","Whole team",IFERROR(INDEX(Team!$B$5:$B$10,MATCH(F129,Team!$A$5:$A$10,0)),"")))</f>
        <v/>
      </c>
      <c r="H129" s="26" t="n"/>
      <c r="I129" s="26" t="n"/>
      <c r="J129" s="27" t="n"/>
      <c r="K129" s="28" t="n"/>
      <c r="L129" s="23" t="n"/>
      <c r="M129" s="23" t="n"/>
      <c r="N129" s="27" t="n"/>
      <c r="O129" s="29" t="n"/>
      <c r="P129" s="27" t="n"/>
      <c r="Q129" s="27" t="n"/>
      <c r="R129" s="23">
        <f>IF(OR(I129="",J129="Done"),"",IF(I129&lt;TODAY(),"OVERDUE",""))</f>
        <v/>
      </c>
      <c r="S129" s="23" t="n"/>
    </row>
    <row r="130">
      <c r="A130" s="23" t="n"/>
      <c r="B130" s="23" t="n"/>
      <c r="C130" s="23" t="n"/>
      <c r="D130" s="23" t="n"/>
      <c r="E130" s="23" t="n"/>
      <c r="F130" s="23" t="n"/>
      <c r="G130" s="23">
        <f>IF(F130="","",IF(F130="All","Whole team",IFERROR(INDEX(Team!$B$5:$B$10,MATCH(F130,Team!$A$5:$A$10,0)),"")))</f>
        <v/>
      </c>
      <c r="H130" s="26" t="n"/>
      <c r="I130" s="26" t="n"/>
      <c r="J130" s="27" t="n"/>
      <c r="K130" s="28" t="n"/>
      <c r="L130" s="23" t="n"/>
      <c r="M130" s="23" t="n"/>
      <c r="N130" s="27" t="n"/>
      <c r="O130" s="29" t="n"/>
      <c r="P130" s="27" t="n"/>
      <c r="Q130" s="27" t="n"/>
      <c r="R130" s="23">
        <f>IF(OR(I130="",J130="Done"),"",IF(I130&lt;TODAY(),"OVERDUE",""))</f>
        <v/>
      </c>
      <c r="S130" s="23" t="n"/>
    </row>
    <row r="131">
      <c r="A131" s="23" t="n"/>
      <c r="B131" s="23" t="n"/>
      <c r="C131" s="23" t="n"/>
      <c r="D131" s="23" t="n"/>
      <c r="E131" s="23" t="n"/>
      <c r="F131" s="23" t="n"/>
      <c r="G131" s="23">
        <f>IF(F131="","",IF(F131="All","Whole team",IFERROR(INDEX(Team!$B$5:$B$10,MATCH(F131,Team!$A$5:$A$10,0)),"")))</f>
        <v/>
      </c>
      <c r="H131" s="26" t="n"/>
      <c r="I131" s="26" t="n"/>
      <c r="J131" s="27" t="n"/>
      <c r="K131" s="28" t="n"/>
      <c r="L131" s="23" t="n"/>
      <c r="M131" s="23" t="n"/>
      <c r="N131" s="27" t="n"/>
      <c r="O131" s="29" t="n"/>
      <c r="P131" s="27" t="n"/>
      <c r="Q131" s="27" t="n"/>
      <c r="R131" s="23">
        <f>IF(OR(I131="",J131="Done"),"",IF(I131&lt;TODAY(),"OVERDUE",""))</f>
        <v/>
      </c>
      <c r="S131" s="23" t="n"/>
    </row>
    <row r="132">
      <c r="A132" s="23" t="n"/>
      <c r="B132" s="23" t="n"/>
      <c r="C132" s="23" t="n"/>
      <c r="D132" s="23" t="n"/>
      <c r="E132" s="23" t="n"/>
      <c r="F132" s="23" t="n"/>
      <c r="G132" s="23">
        <f>IF(F132="","",IF(F132="All","Whole team",IFERROR(INDEX(Team!$B$5:$B$10,MATCH(F132,Team!$A$5:$A$10,0)),"")))</f>
        <v/>
      </c>
      <c r="H132" s="26" t="n"/>
      <c r="I132" s="26" t="n"/>
      <c r="J132" s="27" t="n"/>
      <c r="K132" s="28" t="n"/>
      <c r="L132" s="23" t="n"/>
      <c r="M132" s="23" t="n"/>
      <c r="N132" s="27" t="n"/>
      <c r="O132" s="29" t="n"/>
      <c r="P132" s="27" t="n"/>
      <c r="Q132" s="27" t="n"/>
      <c r="R132" s="23">
        <f>IF(OR(I132="",J132="Done"),"",IF(I132&lt;TODAY(),"OVERDUE",""))</f>
        <v/>
      </c>
      <c r="S132" s="23" t="n"/>
    </row>
    <row r="133">
      <c r="A133" s="23" t="n"/>
      <c r="B133" s="23" t="n"/>
      <c r="C133" s="23" t="n"/>
      <c r="D133" s="23" t="n"/>
      <c r="E133" s="23" t="n"/>
      <c r="F133" s="23" t="n"/>
      <c r="G133" s="23">
        <f>IF(F133="","",IF(F133="All","Whole team",IFERROR(INDEX(Team!$B$5:$B$10,MATCH(F133,Team!$A$5:$A$10,0)),"")))</f>
        <v/>
      </c>
      <c r="H133" s="26" t="n"/>
      <c r="I133" s="26" t="n"/>
      <c r="J133" s="27" t="n"/>
      <c r="K133" s="28" t="n"/>
      <c r="L133" s="23" t="n"/>
      <c r="M133" s="23" t="n"/>
      <c r="N133" s="27" t="n"/>
      <c r="O133" s="29" t="n"/>
      <c r="P133" s="27" t="n"/>
      <c r="Q133" s="27" t="n"/>
      <c r="R133" s="23">
        <f>IF(OR(I133="",J133="Done"),"",IF(I133&lt;TODAY(),"OVERDUE",""))</f>
        <v/>
      </c>
      <c r="S133" s="23" t="n"/>
    </row>
    <row r="134">
      <c r="A134" s="23" t="n"/>
      <c r="B134" s="23" t="n"/>
      <c r="C134" s="23" t="n"/>
      <c r="D134" s="23" t="n"/>
      <c r="E134" s="23" t="n"/>
      <c r="F134" s="23" t="n"/>
      <c r="G134" s="23">
        <f>IF(F134="","",IF(F134="All","Whole team",IFERROR(INDEX(Team!$B$5:$B$10,MATCH(F134,Team!$A$5:$A$10,0)),"")))</f>
        <v/>
      </c>
      <c r="H134" s="26" t="n"/>
      <c r="I134" s="26" t="n"/>
      <c r="J134" s="27" t="n"/>
      <c r="K134" s="28" t="n"/>
      <c r="L134" s="23" t="n"/>
      <c r="M134" s="23" t="n"/>
      <c r="N134" s="27" t="n"/>
      <c r="O134" s="29" t="n"/>
      <c r="P134" s="27" t="n"/>
      <c r="Q134" s="27" t="n"/>
      <c r="R134" s="23">
        <f>IF(OR(I134="",J134="Done"),"",IF(I134&lt;TODAY(),"OVERDUE",""))</f>
        <v/>
      </c>
      <c r="S134" s="23" t="n"/>
    </row>
    <row r="135">
      <c r="A135" s="23" t="n"/>
      <c r="B135" s="23" t="n"/>
      <c r="C135" s="23" t="n"/>
      <c r="D135" s="23" t="n"/>
      <c r="E135" s="23" t="n"/>
      <c r="F135" s="23" t="n"/>
      <c r="G135" s="23">
        <f>IF(F135="","",IF(F135="All","Whole team",IFERROR(INDEX(Team!$B$5:$B$10,MATCH(F135,Team!$A$5:$A$10,0)),"")))</f>
        <v/>
      </c>
      <c r="H135" s="26" t="n"/>
      <c r="I135" s="26" t="n"/>
      <c r="J135" s="27" t="n"/>
      <c r="K135" s="28" t="n"/>
      <c r="L135" s="23" t="n"/>
      <c r="M135" s="23" t="n"/>
      <c r="N135" s="27" t="n"/>
      <c r="O135" s="29" t="n"/>
      <c r="P135" s="27" t="n"/>
      <c r="Q135" s="27" t="n"/>
      <c r="R135" s="23">
        <f>IF(OR(I135="",J135="Done"),"",IF(I135&lt;TODAY(),"OVERDUE",""))</f>
        <v/>
      </c>
      <c r="S135" s="23" t="n"/>
    </row>
    <row r="136">
      <c r="A136" s="23" t="n"/>
      <c r="B136" s="23" t="n"/>
      <c r="C136" s="23" t="n"/>
      <c r="D136" s="23" t="n"/>
      <c r="E136" s="23" t="n"/>
      <c r="F136" s="23" t="n"/>
      <c r="G136" s="23">
        <f>IF(F136="","",IF(F136="All","Whole team",IFERROR(INDEX(Team!$B$5:$B$10,MATCH(F136,Team!$A$5:$A$10,0)),"")))</f>
        <v/>
      </c>
      <c r="H136" s="26" t="n"/>
      <c r="I136" s="26" t="n"/>
      <c r="J136" s="27" t="n"/>
      <c r="K136" s="28" t="n"/>
      <c r="L136" s="23" t="n"/>
      <c r="M136" s="23" t="n"/>
      <c r="N136" s="27" t="n"/>
      <c r="O136" s="29" t="n"/>
      <c r="P136" s="27" t="n"/>
      <c r="Q136" s="27" t="n"/>
      <c r="R136" s="23">
        <f>IF(OR(I136="",J136="Done"),"",IF(I136&lt;TODAY(),"OVERDUE",""))</f>
        <v/>
      </c>
      <c r="S136" s="23" t="n"/>
    </row>
    <row r="137">
      <c r="A137" s="23" t="n"/>
      <c r="B137" s="23" t="n"/>
      <c r="C137" s="23" t="n"/>
      <c r="D137" s="23" t="n"/>
      <c r="E137" s="23" t="n"/>
      <c r="F137" s="23" t="n"/>
      <c r="G137" s="23">
        <f>IF(F137="","",IF(F137="All","Whole team",IFERROR(INDEX(Team!$B$5:$B$10,MATCH(F137,Team!$A$5:$A$10,0)),"")))</f>
        <v/>
      </c>
      <c r="H137" s="26" t="n"/>
      <c r="I137" s="26" t="n"/>
      <c r="J137" s="27" t="n"/>
      <c r="K137" s="28" t="n"/>
      <c r="L137" s="23" t="n"/>
      <c r="M137" s="23" t="n"/>
      <c r="N137" s="27" t="n"/>
      <c r="O137" s="29" t="n"/>
      <c r="P137" s="27" t="n"/>
      <c r="Q137" s="27" t="n"/>
      <c r="R137" s="23">
        <f>IF(OR(I137="",J137="Done"),"",IF(I137&lt;TODAY(),"OVERDUE",""))</f>
        <v/>
      </c>
      <c r="S137" s="23" t="n"/>
    </row>
    <row r="138">
      <c r="A138" s="23" t="n"/>
      <c r="B138" s="23" t="n"/>
      <c r="C138" s="23" t="n"/>
      <c r="D138" s="23" t="n"/>
      <c r="E138" s="23" t="n"/>
      <c r="F138" s="23" t="n"/>
      <c r="G138" s="23">
        <f>IF(F138="","",IF(F138="All","Whole team",IFERROR(INDEX(Team!$B$5:$B$10,MATCH(F138,Team!$A$5:$A$10,0)),"")))</f>
        <v/>
      </c>
      <c r="H138" s="26" t="n"/>
      <c r="I138" s="26" t="n"/>
      <c r="J138" s="27" t="n"/>
      <c r="K138" s="28" t="n"/>
      <c r="L138" s="23" t="n"/>
      <c r="M138" s="23" t="n"/>
      <c r="N138" s="27" t="n"/>
      <c r="O138" s="29" t="n"/>
      <c r="P138" s="27" t="n"/>
      <c r="Q138" s="27" t="n"/>
      <c r="R138" s="23">
        <f>IF(OR(I138="",J138="Done"),"",IF(I138&lt;TODAY(),"OVERDUE",""))</f>
        <v/>
      </c>
      <c r="S138" s="23" t="n"/>
    </row>
    <row r="139">
      <c r="A139" s="23" t="n"/>
      <c r="B139" s="23" t="n"/>
      <c r="C139" s="23" t="n"/>
      <c r="D139" s="23" t="n"/>
      <c r="E139" s="23" t="n"/>
      <c r="F139" s="23" t="n"/>
      <c r="G139" s="23">
        <f>IF(F139="","",IF(F139="All","Whole team",IFERROR(INDEX(Team!$B$5:$B$10,MATCH(F139,Team!$A$5:$A$10,0)),"")))</f>
        <v/>
      </c>
      <c r="H139" s="26" t="n"/>
      <c r="I139" s="26" t="n"/>
      <c r="J139" s="27" t="n"/>
      <c r="K139" s="28" t="n"/>
      <c r="L139" s="23" t="n"/>
      <c r="M139" s="23" t="n"/>
      <c r="N139" s="27" t="n"/>
      <c r="O139" s="29" t="n"/>
      <c r="P139" s="27" t="n"/>
      <c r="Q139" s="27" t="n"/>
      <c r="R139" s="23">
        <f>IF(OR(I139="",J139="Done"),"",IF(I139&lt;TODAY(),"OVERDUE",""))</f>
        <v/>
      </c>
      <c r="S139" s="23" t="n"/>
    </row>
    <row r="140">
      <c r="A140" s="23" t="n"/>
      <c r="B140" s="23" t="n"/>
      <c r="C140" s="23" t="n"/>
      <c r="D140" s="23" t="n"/>
      <c r="E140" s="23" t="n"/>
      <c r="F140" s="23" t="n"/>
      <c r="G140" s="23">
        <f>IF(F140="","",IF(F140="All","Whole team",IFERROR(INDEX(Team!$B$5:$B$10,MATCH(F140,Team!$A$5:$A$10,0)),"")))</f>
        <v/>
      </c>
      <c r="H140" s="26" t="n"/>
      <c r="I140" s="26" t="n"/>
      <c r="J140" s="27" t="n"/>
      <c r="K140" s="28" t="n"/>
      <c r="L140" s="23" t="n"/>
      <c r="M140" s="23" t="n"/>
      <c r="N140" s="27" t="n"/>
      <c r="O140" s="29" t="n"/>
      <c r="P140" s="27" t="n"/>
      <c r="Q140" s="27" t="n"/>
      <c r="R140" s="23">
        <f>IF(OR(I140="",J140="Done"),"",IF(I140&lt;TODAY(),"OVERDUE",""))</f>
        <v/>
      </c>
      <c r="S140" s="23" t="n"/>
    </row>
    <row r="141">
      <c r="A141" s="23" t="n"/>
      <c r="B141" s="23" t="n"/>
      <c r="C141" s="23" t="n"/>
      <c r="D141" s="23" t="n"/>
      <c r="E141" s="23" t="n"/>
      <c r="F141" s="23" t="n"/>
      <c r="G141" s="23">
        <f>IF(F141="","",IF(F141="All","Whole team",IFERROR(INDEX(Team!$B$5:$B$10,MATCH(F141,Team!$A$5:$A$10,0)),"")))</f>
        <v/>
      </c>
      <c r="H141" s="26" t="n"/>
      <c r="I141" s="26" t="n"/>
      <c r="J141" s="27" t="n"/>
      <c r="K141" s="28" t="n"/>
      <c r="L141" s="23" t="n"/>
      <c r="M141" s="23" t="n"/>
      <c r="N141" s="27" t="n"/>
      <c r="O141" s="29" t="n"/>
      <c r="P141" s="27" t="n"/>
      <c r="Q141" s="27" t="n"/>
      <c r="R141" s="23">
        <f>IF(OR(I141="",J141="Done"),"",IF(I141&lt;TODAY(),"OVERDUE",""))</f>
        <v/>
      </c>
      <c r="S141" s="23" t="n"/>
    </row>
    <row r="142">
      <c r="A142" s="23" t="n"/>
      <c r="B142" s="23" t="n"/>
      <c r="C142" s="23" t="n"/>
      <c r="D142" s="23" t="n"/>
      <c r="E142" s="23" t="n"/>
      <c r="F142" s="23" t="n"/>
      <c r="G142" s="23">
        <f>IF(F142="","",IF(F142="All","Whole team",IFERROR(INDEX(Team!$B$5:$B$10,MATCH(F142,Team!$A$5:$A$10,0)),"")))</f>
        <v/>
      </c>
      <c r="H142" s="26" t="n"/>
      <c r="I142" s="26" t="n"/>
      <c r="J142" s="27" t="n"/>
      <c r="K142" s="28" t="n"/>
      <c r="L142" s="23" t="n"/>
      <c r="M142" s="23" t="n"/>
      <c r="N142" s="27" t="n"/>
      <c r="O142" s="29" t="n"/>
      <c r="P142" s="27" t="n"/>
      <c r="Q142" s="27" t="n"/>
      <c r="R142" s="23">
        <f>IF(OR(I142="",J142="Done"),"",IF(I142&lt;TODAY(),"OVERDUE",""))</f>
        <v/>
      </c>
      <c r="S142" s="23" t="n"/>
    </row>
    <row r="143">
      <c r="A143" s="23" t="n"/>
      <c r="B143" s="23" t="n"/>
      <c r="C143" s="23" t="n"/>
      <c r="D143" s="23" t="n"/>
      <c r="E143" s="23" t="n"/>
      <c r="F143" s="23" t="n"/>
      <c r="G143" s="23">
        <f>IF(F143="","",IF(F143="All","Whole team",IFERROR(INDEX(Team!$B$5:$B$10,MATCH(F143,Team!$A$5:$A$10,0)),"")))</f>
        <v/>
      </c>
      <c r="H143" s="26" t="n"/>
      <c r="I143" s="26" t="n"/>
      <c r="J143" s="27" t="n"/>
      <c r="K143" s="28" t="n"/>
      <c r="L143" s="23" t="n"/>
      <c r="M143" s="23" t="n"/>
      <c r="N143" s="27" t="n"/>
      <c r="O143" s="29" t="n"/>
      <c r="P143" s="27" t="n"/>
      <c r="Q143" s="27" t="n"/>
      <c r="R143" s="23">
        <f>IF(OR(I143="",J143="Done"),"",IF(I143&lt;TODAY(),"OVERDUE",""))</f>
        <v/>
      </c>
      <c r="S143" s="23" t="n"/>
    </row>
    <row r="144">
      <c r="A144" s="23" t="n"/>
      <c r="B144" s="23" t="n"/>
      <c r="C144" s="23" t="n"/>
      <c r="D144" s="23" t="n"/>
      <c r="E144" s="23" t="n"/>
      <c r="F144" s="23" t="n"/>
      <c r="G144" s="23">
        <f>IF(F144="","",IF(F144="All","Whole team",IFERROR(INDEX(Team!$B$5:$B$10,MATCH(F144,Team!$A$5:$A$10,0)),"")))</f>
        <v/>
      </c>
      <c r="H144" s="26" t="n"/>
      <c r="I144" s="26" t="n"/>
      <c r="J144" s="27" t="n"/>
      <c r="K144" s="28" t="n"/>
      <c r="L144" s="23" t="n"/>
      <c r="M144" s="23" t="n"/>
      <c r="N144" s="27" t="n"/>
      <c r="O144" s="29" t="n"/>
      <c r="P144" s="27" t="n"/>
      <c r="Q144" s="27" t="n"/>
      <c r="R144" s="23">
        <f>IF(OR(I144="",J144="Done"),"",IF(I144&lt;TODAY(),"OVERDUE",""))</f>
        <v/>
      </c>
      <c r="S144" s="23" t="n"/>
    </row>
    <row r="145">
      <c r="A145" s="23" t="n"/>
      <c r="B145" s="23" t="n"/>
      <c r="C145" s="23" t="n"/>
      <c r="D145" s="23" t="n"/>
      <c r="E145" s="23" t="n"/>
      <c r="F145" s="23" t="n"/>
      <c r="G145" s="23">
        <f>IF(F145="","",IF(F145="All","Whole team",IFERROR(INDEX(Team!$B$5:$B$10,MATCH(F145,Team!$A$5:$A$10,0)),"")))</f>
        <v/>
      </c>
      <c r="H145" s="26" t="n"/>
      <c r="I145" s="26" t="n"/>
      <c r="J145" s="27" t="n"/>
      <c r="K145" s="28" t="n"/>
      <c r="L145" s="23" t="n"/>
      <c r="M145" s="23" t="n"/>
      <c r="N145" s="27" t="n"/>
      <c r="O145" s="29" t="n"/>
      <c r="P145" s="27" t="n"/>
      <c r="Q145" s="27" t="n"/>
      <c r="R145" s="23">
        <f>IF(OR(I145="",J145="Done"),"",IF(I145&lt;TODAY(),"OVERDUE",""))</f>
        <v/>
      </c>
      <c r="S145" s="23" t="n"/>
    </row>
    <row r="146">
      <c r="A146" s="23" t="n"/>
      <c r="B146" s="23" t="n"/>
      <c r="C146" s="23" t="n"/>
      <c r="D146" s="23" t="n"/>
      <c r="E146" s="23" t="n"/>
      <c r="F146" s="23" t="n"/>
      <c r="G146" s="23">
        <f>IF(F146="","",IF(F146="All","Whole team",IFERROR(INDEX(Team!$B$5:$B$10,MATCH(F146,Team!$A$5:$A$10,0)),"")))</f>
        <v/>
      </c>
      <c r="H146" s="26" t="n"/>
      <c r="I146" s="26" t="n"/>
      <c r="J146" s="27" t="n"/>
      <c r="K146" s="28" t="n"/>
      <c r="L146" s="23" t="n"/>
      <c r="M146" s="23" t="n"/>
      <c r="N146" s="27" t="n"/>
      <c r="O146" s="29" t="n"/>
      <c r="P146" s="27" t="n"/>
      <c r="Q146" s="27" t="n"/>
      <c r="R146" s="23">
        <f>IF(OR(I146="",J146="Done"),"",IF(I146&lt;TODAY(),"OVERDUE",""))</f>
        <v/>
      </c>
      <c r="S146" s="23" t="n"/>
    </row>
    <row r="147">
      <c r="A147" s="23" t="n"/>
      <c r="B147" s="23" t="n"/>
      <c r="C147" s="23" t="n"/>
      <c r="D147" s="23" t="n"/>
      <c r="E147" s="23" t="n"/>
      <c r="F147" s="23" t="n"/>
      <c r="G147" s="23">
        <f>IF(F147="","",IF(F147="All","Whole team",IFERROR(INDEX(Team!$B$5:$B$10,MATCH(F147,Team!$A$5:$A$10,0)),"")))</f>
        <v/>
      </c>
      <c r="H147" s="26" t="n"/>
      <c r="I147" s="26" t="n"/>
      <c r="J147" s="27" t="n"/>
      <c r="K147" s="28" t="n"/>
      <c r="L147" s="23" t="n"/>
      <c r="M147" s="23" t="n"/>
      <c r="N147" s="27" t="n"/>
      <c r="O147" s="29" t="n"/>
      <c r="P147" s="27" t="n"/>
      <c r="Q147" s="27" t="n"/>
      <c r="R147" s="23">
        <f>IF(OR(I147="",J147="Done"),"",IF(I147&lt;TODAY(),"OVERDUE",""))</f>
        <v/>
      </c>
      <c r="S147" s="23" t="n"/>
    </row>
    <row r="148">
      <c r="A148" s="23" t="n"/>
      <c r="B148" s="23" t="n"/>
      <c r="C148" s="23" t="n"/>
      <c r="D148" s="23" t="n"/>
      <c r="E148" s="23" t="n"/>
      <c r="F148" s="23" t="n"/>
      <c r="G148" s="23">
        <f>IF(F148="","",IF(F148="All","Whole team",IFERROR(INDEX(Team!$B$5:$B$10,MATCH(F148,Team!$A$5:$A$10,0)),"")))</f>
        <v/>
      </c>
      <c r="H148" s="26" t="n"/>
      <c r="I148" s="26" t="n"/>
      <c r="J148" s="27" t="n"/>
      <c r="K148" s="28" t="n"/>
      <c r="L148" s="23" t="n"/>
      <c r="M148" s="23" t="n"/>
      <c r="N148" s="27" t="n"/>
      <c r="O148" s="29" t="n"/>
      <c r="P148" s="27" t="n"/>
      <c r="Q148" s="27" t="n"/>
      <c r="R148" s="23">
        <f>IF(OR(I148="",J148="Done"),"",IF(I148&lt;TODAY(),"OVERDUE",""))</f>
        <v/>
      </c>
      <c r="S148" s="23" t="n"/>
    </row>
    <row r="149">
      <c r="A149" s="23" t="n"/>
      <c r="B149" s="23" t="n"/>
      <c r="C149" s="23" t="n"/>
      <c r="D149" s="23" t="n"/>
      <c r="E149" s="23" t="n"/>
      <c r="F149" s="23" t="n"/>
      <c r="G149" s="23">
        <f>IF(F149="","",IF(F149="All","Whole team",IFERROR(INDEX(Team!$B$5:$B$10,MATCH(F149,Team!$A$5:$A$10,0)),"")))</f>
        <v/>
      </c>
      <c r="H149" s="26" t="n"/>
      <c r="I149" s="26" t="n"/>
      <c r="J149" s="27" t="n"/>
      <c r="K149" s="28" t="n"/>
      <c r="L149" s="23" t="n"/>
      <c r="M149" s="23" t="n"/>
      <c r="N149" s="27" t="n"/>
      <c r="O149" s="29" t="n"/>
      <c r="P149" s="27" t="n"/>
      <c r="Q149" s="27" t="n"/>
      <c r="R149" s="23">
        <f>IF(OR(I149="",J149="Done"),"",IF(I149&lt;TODAY(),"OVERDUE",""))</f>
        <v/>
      </c>
      <c r="S149" s="23" t="n"/>
    </row>
    <row r="150">
      <c r="A150" s="23" t="n"/>
      <c r="B150" s="23" t="n"/>
      <c r="C150" s="23" t="n"/>
      <c r="D150" s="23" t="n"/>
      <c r="E150" s="23" t="n"/>
      <c r="F150" s="23" t="n"/>
      <c r="G150" s="23">
        <f>IF(F150="","",IF(F150="All","Whole team",IFERROR(INDEX(Team!$B$5:$B$10,MATCH(F150,Team!$A$5:$A$10,0)),"")))</f>
        <v/>
      </c>
      <c r="H150" s="26" t="n"/>
      <c r="I150" s="26" t="n"/>
      <c r="J150" s="27" t="n"/>
      <c r="K150" s="28" t="n"/>
      <c r="L150" s="23" t="n"/>
      <c r="M150" s="23" t="n"/>
      <c r="N150" s="27" t="n"/>
      <c r="O150" s="29" t="n"/>
      <c r="P150" s="27" t="n"/>
      <c r="Q150" s="27" t="n"/>
      <c r="R150" s="23">
        <f>IF(OR(I150="",J150="Done"),"",IF(I150&lt;TODAY(),"OVERDUE",""))</f>
        <v/>
      </c>
      <c r="S150" s="23" t="n"/>
    </row>
    <row r="151">
      <c r="A151" s="23" t="n"/>
      <c r="B151" s="23" t="n"/>
      <c r="C151" s="23" t="n"/>
      <c r="D151" s="23" t="n"/>
      <c r="E151" s="23" t="n"/>
      <c r="F151" s="23" t="n"/>
      <c r="G151" s="23">
        <f>IF(F151="","",IF(F151="All","Whole team",IFERROR(INDEX(Team!$B$5:$B$10,MATCH(F151,Team!$A$5:$A$10,0)),"")))</f>
        <v/>
      </c>
      <c r="H151" s="26" t="n"/>
      <c r="I151" s="26" t="n"/>
      <c r="J151" s="27" t="n"/>
      <c r="K151" s="28" t="n"/>
      <c r="L151" s="23" t="n"/>
      <c r="M151" s="23" t="n"/>
      <c r="N151" s="27" t="n"/>
      <c r="O151" s="29" t="n"/>
      <c r="P151" s="27" t="n"/>
      <c r="Q151" s="27" t="n"/>
      <c r="R151" s="23">
        <f>IF(OR(I151="",J151="Done"),"",IF(I151&lt;TODAY(),"OVERDUE",""))</f>
        <v/>
      </c>
      <c r="S151" s="23" t="n"/>
    </row>
    <row r="152">
      <c r="A152" s="23" t="n"/>
      <c r="B152" s="23" t="n"/>
      <c r="C152" s="23" t="n"/>
      <c r="D152" s="23" t="n"/>
      <c r="E152" s="23" t="n"/>
      <c r="F152" s="23" t="n"/>
      <c r="G152" s="23">
        <f>IF(F152="","",IF(F152="All","Whole team",IFERROR(INDEX(Team!$B$5:$B$10,MATCH(F152,Team!$A$5:$A$10,0)),"")))</f>
        <v/>
      </c>
      <c r="H152" s="26" t="n"/>
      <c r="I152" s="26" t="n"/>
      <c r="J152" s="27" t="n"/>
      <c r="K152" s="28" t="n"/>
      <c r="L152" s="23" t="n"/>
      <c r="M152" s="23" t="n"/>
      <c r="N152" s="27" t="n"/>
      <c r="O152" s="29" t="n"/>
      <c r="P152" s="27" t="n"/>
      <c r="Q152" s="27" t="n"/>
      <c r="R152" s="23">
        <f>IF(OR(I152="",J152="Done"),"",IF(I152&lt;TODAY(),"OVERDUE",""))</f>
        <v/>
      </c>
      <c r="S152" s="23" t="n"/>
    </row>
    <row r="153">
      <c r="A153" s="23" t="n"/>
      <c r="B153" s="23" t="n"/>
      <c r="C153" s="23" t="n"/>
      <c r="D153" s="23" t="n"/>
      <c r="E153" s="23" t="n"/>
      <c r="F153" s="23" t="n"/>
      <c r="G153" s="23">
        <f>IF(F153="","",IF(F153="All","Whole team",IFERROR(INDEX(Team!$B$5:$B$10,MATCH(F153,Team!$A$5:$A$10,0)),"")))</f>
        <v/>
      </c>
      <c r="H153" s="26" t="n"/>
      <c r="I153" s="26" t="n"/>
      <c r="J153" s="27" t="n"/>
      <c r="K153" s="28" t="n"/>
      <c r="L153" s="23" t="n"/>
      <c r="M153" s="23" t="n"/>
      <c r="N153" s="27" t="n"/>
      <c r="O153" s="29" t="n"/>
      <c r="P153" s="27" t="n"/>
      <c r="Q153" s="27" t="n"/>
      <c r="R153" s="23">
        <f>IF(OR(I153="",J153="Done"),"",IF(I153&lt;TODAY(),"OVERDUE",""))</f>
        <v/>
      </c>
      <c r="S153" s="23" t="n"/>
    </row>
    <row r="154">
      <c r="A154" s="23" t="n"/>
      <c r="B154" s="23" t="n"/>
      <c r="C154" s="23" t="n"/>
      <c r="D154" s="23" t="n"/>
      <c r="E154" s="23" t="n"/>
      <c r="F154" s="23" t="n"/>
      <c r="G154" s="23">
        <f>IF(F154="","",IF(F154="All","Whole team",IFERROR(INDEX(Team!$B$5:$B$10,MATCH(F154,Team!$A$5:$A$10,0)),"")))</f>
        <v/>
      </c>
      <c r="H154" s="26" t="n"/>
      <c r="I154" s="26" t="n"/>
      <c r="J154" s="27" t="n"/>
      <c r="K154" s="28" t="n"/>
      <c r="L154" s="23" t="n"/>
      <c r="M154" s="23" t="n"/>
      <c r="N154" s="27" t="n"/>
      <c r="O154" s="29" t="n"/>
      <c r="P154" s="27" t="n"/>
      <c r="Q154" s="27" t="n"/>
      <c r="R154" s="23">
        <f>IF(OR(I154="",J154="Done"),"",IF(I154&lt;TODAY(),"OVERDUE",""))</f>
        <v/>
      </c>
      <c r="S154" s="23" t="n"/>
    </row>
    <row r="155">
      <c r="A155" s="23" t="n"/>
      <c r="B155" s="23" t="n"/>
      <c r="C155" s="23" t="n"/>
      <c r="D155" s="23" t="n"/>
      <c r="E155" s="23" t="n"/>
      <c r="F155" s="23" t="n"/>
      <c r="G155" s="23">
        <f>IF(F155="","",IF(F155="All","Whole team",IFERROR(INDEX(Team!$B$5:$B$10,MATCH(F155,Team!$A$5:$A$10,0)),"")))</f>
        <v/>
      </c>
      <c r="H155" s="26" t="n"/>
      <c r="I155" s="26" t="n"/>
      <c r="J155" s="27" t="n"/>
      <c r="K155" s="28" t="n"/>
      <c r="L155" s="23" t="n"/>
      <c r="M155" s="23" t="n"/>
      <c r="N155" s="27" t="n"/>
      <c r="O155" s="29" t="n"/>
      <c r="P155" s="27" t="n"/>
      <c r="Q155" s="27" t="n"/>
      <c r="R155" s="23">
        <f>IF(OR(I155="",J155="Done"),"",IF(I155&lt;TODAY(),"OVERDUE",""))</f>
        <v/>
      </c>
      <c r="S155" s="23" t="n"/>
    </row>
    <row r="156">
      <c r="A156" s="23" t="n"/>
      <c r="B156" s="23" t="n"/>
      <c r="C156" s="23" t="n"/>
      <c r="D156" s="23" t="n"/>
      <c r="E156" s="23" t="n"/>
      <c r="F156" s="23" t="n"/>
      <c r="G156" s="23">
        <f>IF(F156="","",IF(F156="All","Whole team",IFERROR(INDEX(Team!$B$5:$B$10,MATCH(F156,Team!$A$5:$A$10,0)),"")))</f>
        <v/>
      </c>
      <c r="H156" s="26" t="n"/>
      <c r="I156" s="26" t="n"/>
      <c r="J156" s="27" t="n"/>
      <c r="K156" s="28" t="n"/>
      <c r="L156" s="23" t="n"/>
      <c r="M156" s="23" t="n"/>
      <c r="N156" s="27" t="n"/>
      <c r="O156" s="29" t="n"/>
      <c r="P156" s="27" t="n"/>
      <c r="Q156" s="27" t="n"/>
      <c r="R156" s="23">
        <f>IF(OR(I156="",J156="Done"),"",IF(I156&lt;TODAY(),"OVERDUE",""))</f>
        <v/>
      </c>
      <c r="S156" s="23" t="n"/>
    </row>
    <row r="157">
      <c r="A157" s="23" t="n"/>
      <c r="B157" s="23" t="n"/>
      <c r="C157" s="23" t="n"/>
      <c r="D157" s="23" t="n"/>
      <c r="E157" s="23" t="n"/>
      <c r="F157" s="23" t="n"/>
      <c r="G157" s="23">
        <f>IF(F157="","",IF(F157="All","Whole team",IFERROR(INDEX(Team!$B$5:$B$10,MATCH(F157,Team!$A$5:$A$10,0)),"")))</f>
        <v/>
      </c>
      <c r="H157" s="26" t="n"/>
      <c r="I157" s="26" t="n"/>
      <c r="J157" s="27" t="n"/>
      <c r="K157" s="28" t="n"/>
      <c r="L157" s="23" t="n"/>
      <c r="M157" s="23" t="n"/>
      <c r="N157" s="27" t="n"/>
      <c r="O157" s="29" t="n"/>
      <c r="P157" s="27" t="n"/>
      <c r="Q157" s="27" t="n"/>
      <c r="R157" s="23">
        <f>IF(OR(I157="",J157="Done"),"",IF(I157&lt;TODAY(),"OVERDUE",""))</f>
        <v/>
      </c>
      <c r="S157" s="23" t="n"/>
    </row>
    <row r="158">
      <c r="A158" s="23" t="n"/>
      <c r="B158" s="23" t="n"/>
      <c r="C158" s="23" t="n"/>
      <c r="D158" s="23" t="n"/>
      <c r="E158" s="23" t="n"/>
      <c r="F158" s="23" t="n"/>
      <c r="G158" s="23">
        <f>IF(F158="","",IF(F158="All","Whole team",IFERROR(INDEX(Team!$B$5:$B$10,MATCH(F158,Team!$A$5:$A$10,0)),"")))</f>
        <v/>
      </c>
      <c r="H158" s="26" t="n"/>
      <c r="I158" s="26" t="n"/>
      <c r="J158" s="27" t="n"/>
      <c r="K158" s="28" t="n"/>
      <c r="L158" s="23" t="n"/>
      <c r="M158" s="23" t="n"/>
      <c r="N158" s="27" t="n"/>
      <c r="O158" s="29" t="n"/>
      <c r="P158" s="27" t="n"/>
      <c r="Q158" s="27" t="n"/>
      <c r="R158" s="23">
        <f>IF(OR(I158="",J158="Done"),"",IF(I158&lt;TODAY(),"OVERDUE",""))</f>
        <v/>
      </c>
      <c r="S158" s="23" t="n"/>
    </row>
    <row r="159">
      <c r="A159" s="23" t="n"/>
      <c r="B159" s="23" t="n"/>
      <c r="C159" s="23" t="n"/>
      <c r="D159" s="23" t="n"/>
      <c r="E159" s="23" t="n"/>
      <c r="F159" s="23" t="n"/>
      <c r="G159" s="23">
        <f>IF(F159="","",IF(F159="All","Whole team",IFERROR(INDEX(Team!$B$5:$B$10,MATCH(F159,Team!$A$5:$A$10,0)),"")))</f>
        <v/>
      </c>
      <c r="H159" s="26" t="n"/>
      <c r="I159" s="26" t="n"/>
      <c r="J159" s="27" t="n"/>
      <c r="K159" s="28" t="n"/>
      <c r="L159" s="23" t="n"/>
      <c r="M159" s="23" t="n"/>
      <c r="N159" s="27" t="n"/>
      <c r="O159" s="29" t="n"/>
      <c r="P159" s="27" t="n"/>
      <c r="Q159" s="27" t="n"/>
      <c r="R159" s="23">
        <f>IF(OR(I159="",J159="Done"),"",IF(I159&lt;TODAY(),"OVERDUE",""))</f>
        <v/>
      </c>
      <c r="S159" s="23" t="n"/>
    </row>
    <row r="160">
      <c r="A160" s="23" t="n"/>
      <c r="B160" s="23" t="n"/>
      <c r="C160" s="23" t="n"/>
      <c r="D160" s="23" t="n"/>
      <c r="E160" s="23" t="n"/>
      <c r="F160" s="23" t="n"/>
      <c r="G160" s="23">
        <f>IF(F160="","",IF(F160="All","Whole team",IFERROR(INDEX(Team!$B$5:$B$10,MATCH(F160,Team!$A$5:$A$10,0)),"")))</f>
        <v/>
      </c>
      <c r="H160" s="26" t="n"/>
      <c r="I160" s="26" t="n"/>
      <c r="J160" s="27" t="n"/>
      <c r="K160" s="28" t="n"/>
      <c r="L160" s="23" t="n"/>
      <c r="M160" s="23" t="n"/>
      <c r="N160" s="27" t="n"/>
      <c r="O160" s="29" t="n"/>
      <c r="P160" s="27" t="n"/>
      <c r="Q160" s="27" t="n"/>
      <c r="R160" s="23">
        <f>IF(OR(I160="",J160="Done"),"",IF(I160&lt;TODAY(),"OVERDUE",""))</f>
        <v/>
      </c>
      <c r="S160" s="23" t="n"/>
    </row>
    <row r="161">
      <c r="A161" s="23" t="n"/>
      <c r="B161" s="23" t="n"/>
      <c r="C161" s="23" t="n"/>
      <c r="D161" s="23" t="n"/>
      <c r="E161" s="23" t="n"/>
      <c r="F161" s="23" t="n"/>
      <c r="G161" s="23">
        <f>IF(F161="","",IF(F161="All","Whole team",IFERROR(INDEX(Team!$B$5:$B$10,MATCH(F161,Team!$A$5:$A$10,0)),"")))</f>
        <v/>
      </c>
      <c r="H161" s="26" t="n"/>
      <c r="I161" s="26" t="n"/>
      <c r="J161" s="27" t="n"/>
      <c r="K161" s="28" t="n"/>
      <c r="L161" s="23" t="n"/>
      <c r="M161" s="23" t="n"/>
      <c r="N161" s="27" t="n"/>
      <c r="O161" s="29" t="n"/>
      <c r="P161" s="27" t="n"/>
      <c r="Q161" s="27" t="n"/>
      <c r="R161" s="23">
        <f>IF(OR(I161="",J161="Done"),"",IF(I161&lt;TODAY(),"OVERDUE",""))</f>
        <v/>
      </c>
      <c r="S161" s="23" t="n"/>
    </row>
    <row r="162">
      <c r="A162" s="23" t="n"/>
      <c r="B162" s="23" t="n"/>
      <c r="C162" s="23" t="n"/>
      <c r="D162" s="23" t="n"/>
      <c r="E162" s="23" t="n"/>
      <c r="F162" s="23" t="n"/>
      <c r="G162" s="23">
        <f>IF(F162="","",IF(F162="All","Whole team",IFERROR(INDEX(Team!$B$5:$B$10,MATCH(F162,Team!$A$5:$A$10,0)),"")))</f>
        <v/>
      </c>
      <c r="H162" s="26" t="n"/>
      <c r="I162" s="26" t="n"/>
      <c r="J162" s="27" t="n"/>
      <c r="K162" s="28" t="n"/>
      <c r="L162" s="23" t="n"/>
      <c r="M162" s="23" t="n"/>
      <c r="N162" s="27" t="n"/>
      <c r="O162" s="29" t="n"/>
      <c r="P162" s="27" t="n"/>
      <c r="Q162" s="27" t="n"/>
      <c r="R162" s="23">
        <f>IF(OR(I162="",J162="Done"),"",IF(I162&lt;TODAY(),"OVERDUE",""))</f>
        <v/>
      </c>
      <c r="S162" s="23" t="n"/>
    </row>
    <row r="163">
      <c r="A163" s="23" t="n"/>
      <c r="B163" s="23" t="n"/>
      <c r="C163" s="23" t="n"/>
      <c r="D163" s="23" t="n"/>
      <c r="E163" s="23" t="n"/>
      <c r="F163" s="23" t="n"/>
      <c r="G163" s="23">
        <f>IF(F163="","",IF(F163="All","Whole team",IFERROR(INDEX(Team!$B$5:$B$10,MATCH(F163,Team!$A$5:$A$10,0)),"")))</f>
        <v/>
      </c>
      <c r="H163" s="26" t="n"/>
      <c r="I163" s="26" t="n"/>
      <c r="J163" s="27" t="n"/>
      <c r="K163" s="28" t="n"/>
      <c r="L163" s="23" t="n"/>
      <c r="M163" s="23" t="n"/>
      <c r="N163" s="27" t="n"/>
      <c r="O163" s="29" t="n"/>
      <c r="P163" s="27" t="n"/>
      <c r="Q163" s="27" t="n"/>
      <c r="R163" s="23">
        <f>IF(OR(I163="",J163="Done"),"",IF(I163&lt;TODAY(),"OVERDUE",""))</f>
        <v/>
      </c>
      <c r="S163" s="23" t="n"/>
    </row>
    <row r="164">
      <c r="A164" s="23" t="n"/>
      <c r="B164" s="23" t="n"/>
      <c r="C164" s="23" t="n"/>
      <c r="D164" s="23" t="n"/>
      <c r="E164" s="23" t="n"/>
      <c r="F164" s="23" t="n"/>
      <c r="G164" s="23">
        <f>IF(F164="","",IF(F164="All","Whole team",IFERROR(INDEX(Team!$B$5:$B$10,MATCH(F164,Team!$A$5:$A$10,0)),"")))</f>
        <v/>
      </c>
      <c r="H164" s="26" t="n"/>
      <c r="I164" s="26" t="n"/>
      <c r="J164" s="27" t="n"/>
      <c r="K164" s="28" t="n"/>
      <c r="L164" s="23" t="n"/>
      <c r="M164" s="23" t="n"/>
      <c r="N164" s="27" t="n"/>
      <c r="O164" s="29" t="n"/>
      <c r="P164" s="27" t="n"/>
      <c r="Q164" s="27" t="n"/>
      <c r="R164" s="23">
        <f>IF(OR(I164="",J164="Done"),"",IF(I164&lt;TODAY(),"OVERDUE",""))</f>
        <v/>
      </c>
      <c r="S164" s="23" t="n"/>
    </row>
    <row r="165">
      <c r="A165" s="23" t="n"/>
      <c r="B165" s="23" t="n"/>
      <c r="C165" s="23" t="n"/>
      <c r="D165" s="23" t="n"/>
      <c r="E165" s="23" t="n"/>
      <c r="F165" s="23" t="n"/>
      <c r="G165" s="23">
        <f>IF(F165="","",IF(F165="All","Whole team",IFERROR(INDEX(Team!$B$5:$B$10,MATCH(F165,Team!$A$5:$A$10,0)),"")))</f>
        <v/>
      </c>
      <c r="H165" s="26" t="n"/>
      <c r="I165" s="26" t="n"/>
      <c r="J165" s="27" t="n"/>
      <c r="K165" s="28" t="n"/>
      <c r="L165" s="23" t="n"/>
      <c r="M165" s="23" t="n"/>
      <c r="N165" s="27" t="n"/>
      <c r="O165" s="29" t="n"/>
      <c r="P165" s="27" t="n"/>
      <c r="Q165" s="27" t="n"/>
      <c r="R165" s="23">
        <f>IF(OR(I165="",J165="Done"),"",IF(I165&lt;TODAY(),"OVERDUE",""))</f>
        <v/>
      </c>
      <c r="S165" s="23" t="n"/>
    </row>
    <row r="166">
      <c r="A166" s="23" t="n"/>
      <c r="B166" s="23" t="n"/>
      <c r="C166" s="23" t="n"/>
      <c r="D166" s="23" t="n"/>
      <c r="E166" s="23" t="n"/>
      <c r="F166" s="23" t="n"/>
      <c r="G166" s="23">
        <f>IF(F166="","",IF(F166="All","Whole team",IFERROR(INDEX(Team!$B$5:$B$10,MATCH(F166,Team!$A$5:$A$10,0)),"")))</f>
        <v/>
      </c>
      <c r="H166" s="26" t="n"/>
      <c r="I166" s="26" t="n"/>
      <c r="J166" s="27" t="n"/>
      <c r="K166" s="28" t="n"/>
      <c r="L166" s="23" t="n"/>
      <c r="M166" s="23" t="n"/>
      <c r="N166" s="27" t="n"/>
      <c r="O166" s="29" t="n"/>
      <c r="P166" s="27" t="n"/>
      <c r="Q166" s="27" t="n"/>
      <c r="R166" s="23">
        <f>IF(OR(I166="",J166="Done"),"",IF(I166&lt;TODAY(),"OVERDUE",""))</f>
        <v/>
      </c>
      <c r="S166" s="23" t="n"/>
    </row>
    <row r="167">
      <c r="A167" s="23" t="n"/>
      <c r="B167" s="23" t="n"/>
      <c r="C167" s="23" t="n"/>
      <c r="D167" s="23" t="n"/>
      <c r="E167" s="23" t="n"/>
      <c r="F167" s="23" t="n"/>
      <c r="G167" s="23">
        <f>IF(F167="","",IF(F167="All","Whole team",IFERROR(INDEX(Team!$B$5:$B$10,MATCH(F167,Team!$A$5:$A$10,0)),"")))</f>
        <v/>
      </c>
      <c r="H167" s="26" t="n"/>
      <c r="I167" s="26" t="n"/>
      <c r="J167" s="27" t="n"/>
      <c r="K167" s="28" t="n"/>
      <c r="L167" s="23" t="n"/>
      <c r="M167" s="23" t="n"/>
      <c r="N167" s="27" t="n"/>
      <c r="O167" s="29" t="n"/>
      <c r="P167" s="27" t="n"/>
      <c r="Q167" s="27" t="n"/>
      <c r="R167" s="23">
        <f>IF(OR(I167="",J167="Done"),"",IF(I167&lt;TODAY(),"OVERDUE",""))</f>
        <v/>
      </c>
      <c r="S167" s="23" t="n"/>
    </row>
    <row r="168">
      <c r="A168" s="23" t="n"/>
      <c r="B168" s="23" t="n"/>
      <c r="C168" s="23" t="n"/>
      <c r="D168" s="23" t="n"/>
      <c r="E168" s="23" t="n"/>
      <c r="F168" s="23" t="n"/>
      <c r="G168" s="23">
        <f>IF(F168="","",IF(F168="All","Whole team",IFERROR(INDEX(Team!$B$5:$B$10,MATCH(F168,Team!$A$5:$A$10,0)),"")))</f>
        <v/>
      </c>
      <c r="H168" s="26" t="n"/>
      <c r="I168" s="26" t="n"/>
      <c r="J168" s="27" t="n"/>
      <c r="K168" s="28" t="n"/>
      <c r="L168" s="23" t="n"/>
      <c r="M168" s="23" t="n"/>
      <c r="N168" s="27" t="n"/>
      <c r="O168" s="29" t="n"/>
      <c r="P168" s="27" t="n"/>
      <c r="Q168" s="27" t="n"/>
      <c r="R168" s="23">
        <f>IF(OR(I168="",J168="Done"),"",IF(I168&lt;TODAY(),"OVERDUE",""))</f>
        <v/>
      </c>
      <c r="S168" s="23" t="n"/>
    </row>
    <row r="169">
      <c r="A169" s="23" t="n"/>
      <c r="B169" s="23" t="n"/>
      <c r="C169" s="23" t="n"/>
      <c r="D169" s="23" t="n"/>
      <c r="E169" s="23" t="n"/>
      <c r="F169" s="23" t="n"/>
      <c r="G169" s="23">
        <f>IF(F169="","",IF(F169="All","Whole team",IFERROR(INDEX(Team!$B$5:$B$10,MATCH(F169,Team!$A$5:$A$10,0)),"")))</f>
        <v/>
      </c>
      <c r="H169" s="26" t="n"/>
      <c r="I169" s="26" t="n"/>
      <c r="J169" s="27" t="n"/>
      <c r="K169" s="28" t="n"/>
      <c r="L169" s="23" t="n"/>
      <c r="M169" s="23" t="n"/>
      <c r="N169" s="27" t="n"/>
      <c r="O169" s="29" t="n"/>
      <c r="P169" s="27" t="n"/>
      <c r="Q169" s="27" t="n"/>
      <c r="R169" s="23">
        <f>IF(OR(I169="",J169="Done"),"",IF(I169&lt;TODAY(),"OVERDUE",""))</f>
        <v/>
      </c>
      <c r="S169" s="23" t="n"/>
    </row>
    <row r="170">
      <c r="A170" s="23" t="n"/>
      <c r="B170" s="23" t="n"/>
      <c r="C170" s="23" t="n"/>
      <c r="D170" s="23" t="n"/>
      <c r="E170" s="23" t="n"/>
      <c r="F170" s="23" t="n"/>
      <c r="G170" s="23">
        <f>IF(F170="","",IF(F170="All","Whole team",IFERROR(INDEX(Team!$B$5:$B$10,MATCH(F170,Team!$A$5:$A$10,0)),"")))</f>
        <v/>
      </c>
      <c r="H170" s="26" t="n"/>
      <c r="I170" s="26" t="n"/>
      <c r="J170" s="27" t="n"/>
      <c r="K170" s="28" t="n"/>
      <c r="L170" s="23" t="n"/>
      <c r="M170" s="23" t="n"/>
      <c r="N170" s="27" t="n"/>
      <c r="O170" s="29" t="n"/>
      <c r="P170" s="27" t="n"/>
      <c r="Q170" s="27" t="n"/>
      <c r="R170" s="23">
        <f>IF(OR(I170="",J170="Done"),"",IF(I170&lt;TODAY(),"OVERDUE",""))</f>
        <v/>
      </c>
      <c r="S170" s="23" t="n"/>
    </row>
    <row r="171">
      <c r="A171" s="23" t="n"/>
      <c r="B171" s="23" t="n"/>
      <c r="C171" s="23" t="n"/>
      <c r="D171" s="23" t="n"/>
      <c r="E171" s="23" t="n"/>
      <c r="F171" s="23" t="n"/>
      <c r="G171" s="23">
        <f>IF(F171="","",IF(F171="All","Whole team",IFERROR(INDEX(Team!$B$5:$B$10,MATCH(F171,Team!$A$5:$A$10,0)),"")))</f>
        <v/>
      </c>
      <c r="H171" s="26" t="n"/>
      <c r="I171" s="26" t="n"/>
      <c r="J171" s="27" t="n"/>
      <c r="K171" s="28" t="n"/>
      <c r="L171" s="23" t="n"/>
      <c r="M171" s="23" t="n"/>
      <c r="N171" s="27" t="n"/>
      <c r="O171" s="29" t="n"/>
      <c r="P171" s="27" t="n"/>
      <c r="Q171" s="27" t="n"/>
      <c r="R171" s="23">
        <f>IF(OR(I171="",J171="Done"),"",IF(I171&lt;TODAY(),"OVERDUE",""))</f>
        <v/>
      </c>
      <c r="S171" s="23" t="n"/>
    </row>
    <row r="172">
      <c r="A172" s="23" t="n"/>
      <c r="B172" s="23" t="n"/>
      <c r="C172" s="23" t="n"/>
      <c r="D172" s="23" t="n"/>
      <c r="E172" s="23" t="n"/>
      <c r="F172" s="23" t="n"/>
      <c r="G172" s="23">
        <f>IF(F172="","",IF(F172="All","Whole team",IFERROR(INDEX(Team!$B$5:$B$10,MATCH(F172,Team!$A$5:$A$10,0)),"")))</f>
        <v/>
      </c>
      <c r="H172" s="26" t="n"/>
      <c r="I172" s="26" t="n"/>
      <c r="J172" s="27" t="n"/>
      <c r="K172" s="28" t="n"/>
      <c r="L172" s="23" t="n"/>
      <c r="M172" s="23" t="n"/>
      <c r="N172" s="27" t="n"/>
      <c r="O172" s="29" t="n"/>
      <c r="P172" s="27" t="n"/>
      <c r="Q172" s="27" t="n"/>
      <c r="R172" s="23">
        <f>IF(OR(I172="",J172="Done"),"",IF(I172&lt;TODAY(),"OVERDUE",""))</f>
        <v/>
      </c>
      <c r="S172" s="23" t="n"/>
    </row>
    <row r="173">
      <c r="A173" s="23" t="n"/>
      <c r="B173" s="23" t="n"/>
      <c r="C173" s="23" t="n"/>
      <c r="D173" s="23" t="n"/>
      <c r="E173" s="23" t="n"/>
      <c r="F173" s="23" t="n"/>
      <c r="G173" s="23">
        <f>IF(F173="","",IF(F173="All","Whole team",IFERROR(INDEX(Team!$B$5:$B$10,MATCH(F173,Team!$A$5:$A$10,0)),"")))</f>
        <v/>
      </c>
      <c r="H173" s="26" t="n"/>
      <c r="I173" s="26" t="n"/>
      <c r="J173" s="27" t="n"/>
      <c r="K173" s="28" t="n"/>
      <c r="L173" s="23" t="n"/>
      <c r="M173" s="23" t="n"/>
      <c r="N173" s="27" t="n"/>
      <c r="O173" s="29" t="n"/>
      <c r="P173" s="27" t="n"/>
      <c r="Q173" s="27" t="n"/>
      <c r="R173" s="23">
        <f>IF(OR(I173="",J173="Done"),"",IF(I173&lt;TODAY(),"OVERDUE",""))</f>
        <v/>
      </c>
      <c r="S173" s="23" t="n"/>
    </row>
    <row r="174">
      <c r="A174" s="23" t="n"/>
      <c r="B174" s="23" t="n"/>
      <c r="C174" s="23" t="n"/>
      <c r="D174" s="23" t="n"/>
      <c r="E174" s="23" t="n"/>
      <c r="F174" s="23" t="n"/>
      <c r="G174" s="23">
        <f>IF(F174="","",IF(F174="All","Whole team",IFERROR(INDEX(Team!$B$5:$B$10,MATCH(F174,Team!$A$5:$A$10,0)),"")))</f>
        <v/>
      </c>
      <c r="H174" s="26" t="n"/>
      <c r="I174" s="26" t="n"/>
      <c r="J174" s="27" t="n"/>
      <c r="K174" s="28" t="n"/>
      <c r="L174" s="23" t="n"/>
      <c r="M174" s="23" t="n"/>
      <c r="N174" s="27" t="n"/>
      <c r="O174" s="29" t="n"/>
      <c r="P174" s="27" t="n"/>
      <c r="Q174" s="27" t="n"/>
      <c r="R174" s="23">
        <f>IF(OR(I174="",J174="Done"),"",IF(I174&lt;TODAY(),"OVERDUE",""))</f>
        <v/>
      </c>
      <c r="S174" s="23" t="n"/>
    </row>
    <row r="175">
      <c r="A175" s="23" t="n"/>
      <c r="B175" s="23" t="n"/>
      <c r="C175" s="23" t="n"/>
      <c r="D175" s="23" t="n"/>
      <c r="E175" s="23" t="n"/>
      <c r="F175" s="23" t="n"/>
      <c r="G175" s="23">
        <f>IF(F175="","",IF(F175="All","Whole team",IFERROR(INDEX(Team!$B$5:$B$10,MATCH(F175,Team!$A$5:$A$10,0)),"")))</f>
        <v/>
      </c>
      <c r="H175" s="26" t="n"/>
      <c r="I175" s="26" t="n"/>
      <c r="J175" s="27" t="n"/>
      <c r="K175" s="28" t="n"/>
      <c r="L175" s="23" t="n"/>
      <c r="M175" s="23" t="n"/>
      <c r="N175" s="27" t="n"/>
      <c r="O175" s="29" t="n"/>
      <c r="P175" s="27" t="n"/>
      <c r="Q175" s="27" t="n"/>
      <c r="R175" s="23">
        <f>IF(OR(I175="",J175="Done"),"",IF(I175&lt;TODAY(),"OVERDUE",""))</f>
        <v/>
      </c>
      <c r="S175" s="23" t="n"/>
    </row>
    <row r="176">
      <c r="A176" s="23" t="n"/>
      <c r="B176" s="23" t="n"/>
      <c r="C176" s="23" t="n"/>
      <c r="D176" s="23" t="n"/>
      <c r="E176" s="23" t="n"/>
      <c r="F176" s="23" t="n"/>
      <c r="G176" s="23">
        <f>IF(F176="","",IF(F176="All","Whole team",IFERROR(INDEX(Team!$B$5:$B$10,MATCH(F176,Team!$A$5:$A$10,0)),"")))</f>
        <v/>
      </c>
      <c r="H176" s="26" t="n"/>
      <c r="I176" s="26" t="n"/>
      <c r="J176" s="27" t="n"/>
      <c r="K176" s="28" t="n"/>
      <c r="L176" s="23" t="n"/>
      <c r="M176" s="23" t="n"/>
      <c r="N176" s="27" t="n"/>
      <c r="O176" s="29" t="n"/>
      <c r="P176" s="27" t="n"/>
      <c r="Q176" s="27" t="n"/>
      <c r="R176" s="23">
        <f>IF(OR(I176="",J176="Done"),"",IF(I176&lt;TODAY(),"OVERDUE",""))</f>
        <v/>
      </c>
      <c r="S176" s="23" t="n"/>
    </row>
    <row r="177">
      <c r="A177" s="23" t="n"/>
      <c r="B177" s="23" t="n"/>
      <c r="C177" s="23" t="n"/>
      <c r="D177" s="23" t="n"/>
      <c r="E177" s="23" t="n"/>
      <c r="F177" s="23" t="n"/>
      <c r="G177" s="23">
        <f>IF(F177="","",IF(F177="All","Whole team",IFERROR(INDEX(Team!$B$5:$B$10,MATCH(F177,Team!$A$5:$A$10,0)),"")))</f>
        <v/>
      </c>
      <c r="H177" s="26" t="n"/>
      <c r="I177" s="26" t="n"/>
      <c r="J177" s="27" t="n"/>
      <c r="K177" s="28" t="n"/>
      <c r="L177" s="23" t="n"/>
      <c r="M177" s="23" t="n"/>
      <c r="N177" s="27" t="n"/>
      <c r="O177" s="29" t="n"/>
      <c r="P177" s="27" t="n"/>
      <c r="Q177" s="27" t="n"/>
      <c r="R177" s="23">
        <f>IF(OR(I177="",J177="Done"),"",IF(I177&lt;TODAY(),"OVERDUE",""))</f>
        <v/>
      </c>
      <c r="S177" s="23" t="n"/>
    </row>
    <row r="178">
      <c r="A178" s="23" t="n"/>
      <c r="B178" s="23" t="n"/>
      <c r="C178" s="23" t="n"/>
      <c r="D178" s="23" t="n"/>
      <c r="E178" s="23" t="n"/>
      <c r="F178" s="23" t="n"/>
      <c r="G178" s="23">
        <f>IF(F178="","",IF(F178="All","Whole team",IFERROR(INDEX(Team!$B$5:$B$10,MATCH(F178,Team!$A$5:$A$10,0)),"")))</f>
        <v/>
      </c>
      <c r="H178" s="26" t="n"/>
      <c r="I178" s="26" t="n"/>
      <c r="J178" s="27" t="n"/>
      <c r="K178" s="28" t="n"/>
      <c r="L178" s="23" t="n"/>
      <c r="M178" s="23" t="n"/>
      <c r="N178" s="27" t="n"/>
      <c r="O178" s="29" t="n"/>
      <c r="P178" s="27" t="n"/>
      <c r="Q178" s="27" t="n"/>
      <c r="R178" s="23">
        <f>IF(OR(I178="",J178="Done"),"",IF(I178&lt;TODAY(),"OVERDUE",""))</f>
        <v/>
      </c>
      <c r="S178" s="23" t="n"/>
    </row>
    <row r="179">
      <c r="A179" s="23" t="n"/>
      <c r="B179" s="23" t="n"/>
      <c r="C179" s="23" t="n"/>
      <c r="D179" s="23" t="n"/>
      <c r="E179" s="23" t="n"/>
      <c r="F179" s="23" t="n"/>
      <c r="G179" s="23">
        <f>IF(F179="","",IF(F179="All","Whole team",IFERROR(INDEX(Team!$B$5:$B$10,MATCH(F179,Team!$A$5:$A$10,0)),"")))</f>
        <v/>
      </c>
      <c r="H179" s="26" t="n"/>
      <c r="I179" s="26" t="n"/>
      <c r="J179" s="27" t="n"/>
      <c r="K179" s="28" t="n"/>
      <c r="L179" s="23" t="n"/>
      <c r="M179" s="23" t="n"/>
      <c r="N179" s="27" t="n"/>
      <c r="O179" s="29" t="n"/>
      <c r="P179" s="27" t="n"/>
      <c r="Q179" s="27" t="n"/>
      <c r="R179" s="23">
        <f>IF(OR(I179="",J179="Done"),"",IF(I179&lt;TODAY(),"OVERDUE",""))</f>
        <v/>
      </c>
      <c r="S179" s="23" t="n"/>
    </row>
    <row r="180">
      <c r="A180" s="23" t="n"/>
      <c r="B180" s="23" t="n"/>
      <c r="C180" s="23" t="n"/>
      <c r="D180" s="23" t="n"/>
      <c r="E180" s="23" t="n"/>
      <c r="F180" s="23" t="n"/>
      <c r="G180" s="23">
        <f>IF(F180="","",IF(F180="All","Whole team",IFERROR(INDEX(Team!$B$5:$B$10,MATCH(F180,Team!$A$5:$A$10,0)),"")))</f>
        <v/>
      </c>
      <c r="H180" s="26" t="n"/>
      <c r="I180" s="26" t="n"/>
      <c r="J180" s="27" t="n"/>
      <c r="K180" s="28" t="n"/>
      <c r="L180" s="23" t="n"/>
      <c r="M180" s="23" t="n"/>
      <c r="N180" s="27" t="n"/>
      <c r="O180" s="29" t="n"/>
      <c r="P180" s="27" t="n"/>
      <c r="Q180" s="27" t="n"/>
      <c r="R180" s="23">
        <f>IF(OR(I180="",J180="Done"),"",IF(I180&lt;TODAY(),"OVERDUE",""))</f>
        <v/>
      </c>
      <c r="S180" s="23" t="n"/>
    </row>
    <row r="181">
      <c r="A181" s="23" t="n"/>
      <c r="B181" s="23" t="n"/>
      <c r="C181" s="23" t="n"/>
      <c r="D181" s="23" t="n"/>
      <c r="E181" s="23" t="n"/>
      <c r="F181" s="23" t="n"/>
      <c r="G181" s="23">
        <f>IF(F181="","",IF(F181="All","Whole team",IFERROR(INDEX(Team!$B$5:$B$10,MATCH(F181,Team!$A$5:$A$10,0)),"")))</f>
        <v/>
      </c>
      <c r="H181" s="26" t="n"/>
      <c r="I181" s="26" t="n"/>
      <c r="J181" s="27" t="n"/>
      <c r="K181" s="28" t="n"/>
      <c r="L181" s="23" t="n"/>
      <c r="M181" s="23" t="n"/>
      <c r="N181" s="27" t="n"/>
      <c r="O181" s="29" t="n"/>
      <c r="P181" s="27" t="n"/>
      <c r="Q181" s="27" t="n"/>
      <c r="R181" s="23">
        <f>IF(OR(I181="",J181="Done"),"",IF(I181&lt;TODAY(),"OVERDUE",""))</f>
        <v/>
      </c>
      <c r="S181" s="23" t="n"/>
    </row>
    <row r="182">
      <c r="A182" s="23" t="n"/>
      <c r="B182" s="23" t="n"/>
      <c r="C182" s="23" t="n"/>
      <c r="D182" s="23" t="n"/>
      <c r="E182" s="23" t="n"/>
      <c r="F182" s="23" t="n"/>
      <c r="G182" s="23">
        <f>IF(F182="","",IF(F182="All","Whole team",IFERROR(INDEX(Team!$B$5:$B$10,MATCH(F182,Team!$A$5:$A$10,0)),"")))</f>
        <v/>
      </c>
      <c r="H182" s="26" t="n"/>
      <c r="I182" s="26" t="n"/>
      <c r="J182" s="27" t="n"/>
      <c r="K182" s="28" t="n"/>
      <c r="L182" s="23" t="n"/>
      <c r="M182" s="23" t="n"/>
      <c r="N182" s="27" t="n"/>
      <c r="O182" s="29" t="n"/>
      <c r="P182" s="27" t="n"/>
      <c r="Q182" s="27" t="n"/>
      <c r="R182" s="23">
        <f>IF(OR(I182="",J182="Done"),"",IF(I182&lt;TODAY(),"OVERDUE",""))</f>
        <v/>
      </c>
      <c r="S182" s="23" t="n"/>
    </row>
    <row r="183">
      <c r="A183" s="23" t="n"/>
      <c r="B183" s="23" t="n"/>
      <c r="C183" s="23" t="n"/>
      <c r="D183" s="23" t="n"/>
      <c r="E183" s="23" t="n"/>
      <c r="F183" s="23" t="n"/>
      <c r="G183" s="23">
        <f>IF(F183="","",IF(F183="All","Whole team",IFERROR(INDEX(Team!$B$5:$B$10,MATCH(F183,Team!$A$5:$A$10,0)),"")))</f>
        <v/>
      </c>
      <c r="H183" s="26" t="n"/>
      <c r="I183" s="26" t="n"/>
      <c r="J183" s="27" t="n"/>
      <c r="K183" s="28" t="n"/>
      <c r="L183" s="23" t="n"/>
      <c r="M183" s="23" t="n"/>
      <c r="N183" s="27" t="n"/>
      <c r="O183" s="29" t="n"/>
      <c r="P183" s="27" t="n"/>
      <c r="Q183" s="27" t="n"/>
      <c r="R183" s="23">
        <f>IF(OR(I183="",J183="Done"),"",IF(I183&lt;TODAY(),"OVERDUE",""))</f>
        <v/>
      </c>
      <c r="S183" s="23" t="n"/>
    </row>
    <row r="184">
      <c r="A184" s="23" t="n"/>
      <c r="B184" s="23" t="n"/>
      <c r="C184" s="23" t="n"/>
      <c r="D184" s="23" t="n"/>
      <c r="E184" s="23" t="n"/>
      <c r="F184" s="23" t="n"/>
      <c r="G184" s="23">
        <f>IF(F184="","",IF(F184="All","Whole team",IFERROR(INDEX(Team!$B$5:$B$10,MATCH(F184,Team!$A$5:$A$10,0)),"")))</f>
        <v/>
      </c>
      <c r="H184" s="26" t="n"/>
      <c r="I184" s="26" t="n"/>
      <c r="J184" s="27" t="n"/>
      <c r="K184" s="28" t="n"/>
      <c r="L184" s="23" t="n"/>
      <c r="M184" s="23" t="n"/>
      <c r="N184" s="27" t="n"/>
      <c r="O184" s="29" t="n"/>
      <c r="P184" s="27" t="n"/>
      <c r="Q184" s="27" t="n"/>
      <c r="R184" s="23">
        <f>IF(OR(I184="",J184="Done"),"",IF(I184&lt;TODAY(),"OVERDUE",""))</f>
        <v/>
      </c>
      <c r="S184" s="23" t="n"/>
    </row>
    <row r="185">
      <c r="A185" s="23" t="n"/>
      <c r="B185" s="23" t="n"/>
      <c r="C185" s="23" t="n"/>
      <c r="D185" s="23" t="n"/>
      <c r="E185" s="23" t="n"/>
      <c r="F185" s="23" t="n"/>
      <c r="G185" s="23">
        <f>IF(F185="","",IF(F185="All","Whole team",IFERROR(INDEX(Team!$B$5:$B$10,MATCH(F185,Team!$A$5:$A$10,0)),"")))</f>
        <v/>
      </c>
      <c r="H185" s="26" t="n"/>
      <c r="I185" s="26" t="n"/>
      <c r="J185" s="27" t="n"/>
      <c r="K185" s="28" t="n"/>
      <c r="L185" s="23" t="n"/>
      <c r="M185" s="23" t="n"/>
      <c r="N185" s="27" t="n"/>
      <c r="O185" s="29" t="n"/>
      <c r="P185" s="27" t="n"/>
      <c r="Q185" s="27" t="n"/>
      <c r="R185" s="23">
        <f>IF(OR(I185="",J185="Done"),"",IF(I185&lt;TODAY(),"OVERDUE",""))</f>
        <v/>
      </c>
      <c r="S185" s="23" t="n"/>
    </row>
    <row r="186">
      <c r="A186" s="23" t="n"/>
      <c r="B186" s="23" t="n"/>
      <c r="C186" s="23" t="n"/>
      <c r="D186" s="23" t="n"/>
      <c r="E186" s="23" t="n"/>
      <c r="F186" s="23" t="n"/>
      <c r="G186" s="23">
        <f>IF(F186="","",IF(F186="All","Whole team",IFERROR(INDEX(Team!$B$5:$B$10,MATCH(F186,Team!$A$5:$A$10,0)),"")))</f>
        <v/>
      </c>
      <c r="H186" s="26" t="n"/>
      <c r="I186" s="26" t="n"/>
      <c r="J186" s="27" t="n"/>
      <c r="K186" s="28" t="n"/>
      <c r="L186" s="23" t="n"/>
      <c r="M186" s="23" t="n"/>
      <c r="N186" s="27" t="n"/>
      <c r="O186" s="29" t="n"/>
      <c r="P186" s="27" t="n"/>
      <c r="Q186" s="27" t="n"/>
      <c r="R186" s="23">
        <f>IF(OR(I186="",J186="Done"),"",IF(I186&lt;TODAY(),"OVERDUE",""))</f>
        <v/>
      </c>
      <c r="S186" s="23" t="n"/>
    </row>
    <row r="187">
      <c r="A187" s="23" t="n"/>
      <c r="B187" s="23" t="n"/>
      <c r="C187" s="23" t="n"/>
      <c r="D187" s="23" t="n"/>
      <c r="E187" s="23" t="n"/>
      <c r="F187" s="23" t="n"/>
      <c r="G187" s="23">
        <f>IF(F187="","",IF(F187="All","Whole team",IFERROR(INDEX(Team!$B$5:$B$10,MATCH(F187,Team!$A$5:$A$10,0)),"")))</f>
        <v/>
      </c>
      <c r="H187" s="26" t="n"/>
      <c r="I187" s="26" t="n"/>
      <c r="J187" s="27" t="n"/>
      <c r="K187" s="28" t="n"/>
      <c r="L187" s="23" t="n"/>
      <c r="M187" s="23" t="n"/>
      <c r="N187" s="27" t="n"/>
      <c r="O187" s="29" t="n"/>
      <c r="P187" s="27" t="n"/>
      <c r="Q187" s="27" t="n"/>
      <c r="R187" s="23">
        <f>IF(OR(I187="",J187="Done"),"",IF(I187&lt;TODAY(),"OVERDUE",""))</f>
        <v/>
      </c>
      <c r="S187" s="23" t="n"/>
    </row>
    <row r="188">
      <c r="A188" s="23" t="n"/>
      <c r="B188" s="23" t="n"/>
      <c r="C188" s="23" t="n"/>
      <c r="D188" s="23" t="n"/>
      <c r="E188" s="23" t="n"/>
      <c r="F188" s="23" t="n"/>
      <c r="G188" s="23">
        <f>IF(F188="","",IF(F188="All","Whole team",IFERROR(INDEX(Team!$B$5:$B$10,MATCH(F188,Team!$A$5:$A$10,0)),"")))</f>
        <v/>
      </c>
      <c r="H188" s="26" t="n"/>
      <c r="I188" s="26" t="n"/>
      <c r="J188" s="27" t="n"/>
      <c r="K188" s="28" t="n"/>
      <c r="L188" s="23" t="n"/>
      <c r="M188" s="23" t="n"/>
      <c r="N188" s="27" t="n"/>
      <c r="O188" s="29" t="n"/>
      <c r="P188" s="27" t="n"/>
      <c r="Q188" s="27" t="n"/>
      <c r="R188" s="23">
        <f>IF(OR(I188="",J188="Done"),"",IF(I188&lt;TODAY(),"OVERDUE",""))</f>
        <v/>
      </c>
      <c r="S188" s="23" t="n"/>
    </row>
    <row r="189">
      <c r="A189" s="23" t="n"/>
      <c r="B189" s="23" t="n"/>
      <c r="C189" s="23" t="n"/>
      <c r="D189" s="23" t="n"/>
      <c r="E189" s="23" t="n"/>
      <c r="F189" s="23" t="n"/>
      <c r="G189" s="23">
        <f>IF(F189="","",IF(F189="All","Whole team",IFERROR(INDEX(Team!$B$5:$B$10,MATCH(F189,Team!$A$5:$A$10,0)),"")))</f>
        <v/>
      </c>
      <c r="H189" s="26" t="n"/>
      <c r="I189" s="26" t="n"/>
      <c r="J189" s="27" t="n"/>
      <c r="K189" s="28" t="n"/>
      <c r="L189" s="23" t="n"/>
      <c r="M189" s="23" t="n"/>
      <c r="N189" s="27" t="n"/>
      <c r="O189" s="29" t="n"/>
      <c r="P189" s="27" t="n"/>
      <c r="Q189" s="27" t="n"/>
      <c r="R189" s="23">
        <f>IF(OR(I189="",J189="Done"),"",IF(I189&lt;TODAY(),"OVERDUE",""))</f>
        <v/>
      </c>
      <c r="S189" s="23" t="n"/>
    </row>
    <row r="190">
      <c r="A190" s="23" t="n"/>
      <c r="B190" s="23" t="n"/>
      <c r="C190" s="23" t="n"/>
      <c r="D190" s="23" t="n"/>
      <c r="E190" s="23" t="n"/>
      <c r="F190" s="23" t="n"/>
      <c r="G190" s="23">
        <f>IF(F190="","",IF(F190="All","Whole team",IFERROR(INDEX(Team!$B$5:$B$10,MATCH(F190,Team!$A$5:$A$10,0)),"")))</f>
        <v/>
      </c>
      <c r="H190" s="26" t="n"/>
      <c r="I190" s="26" t="n"/>
      <c r="J190" s="27" t="n"/>
      <c r="K190" s="28" t="n"/>
      <c r="L190" s="23" t="n"/>
      <c r="M190" s="23" t="n"/>
      <c r="N190" s="27" t="n"/>
      <c r="O190" s="29" t="n"/>
      <c r="P190" s="27" t="n"/>
      <c r="Q190" s="27" t="n"/>
      <c r="R190" s="23">
        <f>IF(OR(I190="",J190="Done"),"",IF(I190&lt;TODAY(),"OVERDUE",""))</f>
        <v/>
      </c>
      <c r="S190" s="23" t="n"/>
    </row>
    <row r="191">
      <c r="A191" s="23" t="n"/>
      <c r="B191" s="23" t="n"/>
      <c r="C191" s="23" t="n"/>
      <c r="D191" s="23" t="n"/>
      <c r="E191" s="23" t="n"/>
      <c r="F191" s="23" t="n"/>
      <c r="G191" s="23">
        <f>IF(F191="","",IF(F191="All","Whole team",IFERROR(INDEX(Team!$B$5:$B$10,MATCH(F191,Team!$A$5:$A$10,0)),"")))</f>
        <v/>
      </c>
      <c r="H191" s="26" t="n"/>
      <c r="I191" s="26" t="n"/>
      <c r="J191" s="27" t="n"/>
      <c r="K191" s="28" t="n"/>
      <c r="L191" s="23" t="n"/>
      <c r="M191" s="23" t="n"/>
      <c r="N191" s="27" t="n"/>
      <c r="O191" s="29" t="n"/>
      <c r="P191" s="27" t="n"/>
      <c r="Q191" s="27" t="n"/>
      <c r="R191" s="23">
        <f>IF(OR(I191="",J191="Done"),"",IF(I191&lt;TODAY(),"OVERDUE",""))</f>
        <v/>
      </c>
      <c r="S191" s="23" t="n"/>
    </row>
    <row r="192">
      <c r="A192" s="23" t="n"/>
      <c r="B192" s="23" t="n"/>
      <c r="C192" s="23" t="n"/>
      <c r="D192" s="23" t="n"/>
      <c r="E192" s="23" t="n"/>
      <c r="F192" s="23" t="n"/>
      <c r="G192" s="23">
        <f>IF(F192="","",IF(F192="All","Whole team",IFERROR(INDEX(Team!$B$5:$B$10,MATCH(F192,Team!$A$5:$A$10,0)),"")))</f>
        <v/>
      </c>
      <c r="H192" s="26" t="n"/>
      <c r="I192" s="26" t="n"/>
      <c r="J192" s="27" t="n"/>
      <c r="K192" s="28" t="n"/>
      <c r="L192" s="23" t="n"/>
      <c r="M192" s="23" t="n"/>
      <c r="N192" s="27" t="n"/>
      <c r="O192" s="29" t="n"/>
      <c r="P192" s="27" t="n"/>
      <c r="Q192" s="27" t="n"/>
      <c r="R192" s="23">
        <f>IF(OR(I192="",J192="Done"),"",IF(I192&lt;TODAY(),"OVERDUE",""))</f>
        <v/>
      </c>
      <c r="S192" s="23" t="n"/>
    </row>
    <row r="193">
      <c r="A193" s="23" t="n"/>
      <c r="B193" s="23" t="n"/>
      <c r="C193" s="23" t="n"/>
      <c r="D193" s="23" t="n"/>
      <c r="E193" s="23" t="n"/>
      <c r="F193" s="23" t="n"/>
      <c r="G193" s="23">
        <f>IF(F193="","",IF(F193="All","Whole team",IFERROR(INDEX(Team!$B$5:$B$10,MATCH(F193,Team!$A$5:$A$10,0)),"")))</f>
        <v/>
      </c>
      <c r="H193" s="26" t="n"/>
      <c r="I193" s="26" t="n"/>
      <c r="J193" s="27" t="n"/>
      <c r="K193" s="28" t="n"/>
      <c r="L193" s="23" t="n"/>
      <c r="M193" s="23" t="n"/>
      <c r="N193" s="27" t="n"/>
      <c r="O193" s="29" t="n"/>
      <c r="P193" s="27" t="n"/>
      <c r="Q193" s="27" t="n"/>
      <c r="R193" s="23">
        <f>IF(OR(I193="",J193="Done"),"",IF(I193&lt;TODAY(),"OVERDUE",""))</f>
        <v/>
      </c>
      <c r="S193" s="23" t="n"/>
    </row>
    <row r="194">
      <c r="A194" s="23" t="n"/>
      <c r="B194" s="23" t="n"/>
      <c r="C194" s="23" t="n"/>
      <c r="D194" s="23" t="n"/>
      <c r="E194" s="23" t="n"/>
      <c r="F194" s="23" t="n"/>
      <c r="G194" s="23">
        <f>IF(F194="","",IF(F194="All","Whole team",IFERROR(INDEX(Team!$B$5:$B$10,MATCH(F194,Team!$A$5:$A$10,0)),"")))</f>
        <v/>
      </c>
      <c r="H194" s="26" t="n"/>
      <c r="I194" s="26" t="n"/>
      <c r="J194" s="27" t="n"/>
      <c r="K194" s="28" t="n"/>
      <c r="L194" s="23" t="n"/>
      <c r="M194" s="23" t="n"/>
      <c r="N194" s="27" t="n"/>
      <c r="O194" s="29" t="n"/>
      <c r="P194" s="27" t="n"/>
      <c r="Q194" s="27" t="n"/>
      <c r="R194" s="23">
        <f>IF(OR(I194="",J194="Done"),"",IF(I194&lt;TODAY(),"OVERDUE",""))</f>
        <v/>
      </c>
      <c r="S194" s="23" t="n"/>
    </row>
    <row r="195">
      <c r="A195" s="23" t="n"/>
      <c r="B195" s="23" t="n"/>
      <c r="C195" s="23" t="n"/>
      <c r="D195" s="23" t="n"/>
      <c r="E195" s="23" t="n"/>
      <c r="F195" s="23" t="n"/>
      <c r="G195" s="23">
        <f>IF(F195="","",IF(F195="All","Whole team",IFERROR(INDEX(Team!$B$5:$B$10,MATCH(F195,Team!$A$5:$A$10,0)),"")))</f>
        <v/>
      </c>
      <c r="H195" s="26" t="n"/>
      <c r="I195" s="26" t="n"/>
      <c r="J195" s="27" t="n"/>
      <c r="K195" s="28" t="n"/>
      <c r="L195" s="23" t="n"/>
      <c r="M195" s="23" t="n"/>
      <c r="N195" s="27" t="n"/>
      <c r="O195" s="29" t="n"/>
      <c r="P195" s="27" t="n"/>
      <c r="Q195" s="27" t="n"/>
      <c r="R195" s="23">
        <f>IF(OR(I195="",J195="Done"),"",IF(I195&lt;TODAY(),"OVERDUE",""))</f>
        <v/>
      </c>
      <c r="S195" s="23" t="n"/>
    </row>
    <row r="196">
      <c r="A196" s="23" t="n"/>
      <c r="B196" s="23" t="n"/>
      <c r="C196" s="23" t="n"/>
      <c r="D196" s="23" t="n"/>
      <c r="E196" s="23" t="n"/>
      <c r="F196" s="23" t="n"/>
      <c r="G196" s="23">
        <f>IF(F196="","",IF(F196="All","Whole team",IFERROR(INDEX(Team!$B$5:$B$10,MATCH(F196,Team!$A$5:$A$10,0)),"")))</f>
        <v/>
      </c>
      <c r="H196" s="26" t="n"/>
      <c r="I196" s="26" t="n"/>
      <c r="J196" s="27" t="n"/>
      <c r="K196" s="28" t="n"/>
      <c r="L196" s="23" t="n"/>
      <c r="M196" s="23" t="n"/>
      <c r="N196" s="27" t="n"/>
      <c r="O196" s="29" t="n"/>
      <c r="P196" s="27" t="n"/>
      <c r="Q196" s="27" t="n"/>
      <c r="R196" s="23">
        <f>IF(OR(I196="",J196="Done"),"",IF(I196&lt;TODAY(),"OVERDUE",""))</f>
        <v/>
      </c>
      <c r="S196" s="23" t="n"/>
    </row>
    <row r="197">
      <c r="A197" s="23" t="n"/>
      <c r="B197" s="23" t="n"/>
      <c r="C197" s="23" t="n"/>
      <c r="D197" s="23" t="n"/>
      <c r="E197" s="23" t="n"/>
      <c r="F197" s="23" t="n"/>
      <c r="G197" s="23">
        <f>IF(F197="","",IF(F197="All","Whole team",IFERROR(INDEX(Team!$B$5:$B$10,MATCH(F197,Team!$A$5:$A$10,0)),"")))</f>
        <v/>
      </c>
      <c r="H197" s="26" t="n"/>
      <c r="I197" s="26" t="n"/>
      <c r="J197" s="27" t="n"/>
      <c r="K197" s="28" t="n"/>
      <c r="L197" s="23" t="n"/>
      <c r="M197" s="23" t="n"/>
      <c r="N197" s="27" t="n"/>
      <c r="O197" s="29" t="n"/>
      <c r="P197" s="27" t="n"/>
      <c r="Q197" s="27" t="n"/>
      <c r="R197" s="23">
        <f>IF(OR(I197="",J197="Done"),"",IF(I197&lt;TODAY(),"OVERDUE",""))</f>
        <v/>
      </c>
      <c r="S197" s="23" t="n"/>
    </row>
    <row r="198">
      <c r="A198" s="23" t="n"/>
      <c r="B198" s="23" t="n"/>
      <c r="C198" s="23" t="n"/>
      <c r="D198" s="23" t="n"/>
      <c r="E198" s="23" t="n"/>
      <c r="F198" s="23" t="n"/>
      <c r="G198" s="23">
        <f>IF(F198="","",IF(F198="All","Whole team",IFERROR(INDEX(Team!$B$5:$B$10,MATCH(F198,Team!$A$5:$A$10,0)),"")))</f>
        <v/>
      </c>
      <c r="H198" s="26" t="n"/>
      <c r="I198" s="26" t="n"/>
      <c r="J198" s="27" t="n"/>
      <c r="K198" s="28" t="n"/>
      <c r="L198" s="23" t="n"/>
      <c r="M198" s="23" t="n"/>
      <c r="N198" s="27" t="n"/>
      <c r="O198" s="29" t="n"/>
      <c r="P198" s="27" t="n"/>
      <c r="Q198" s="27" t="n"/>
      <c r="R198" s="23">
        <f>IF(OR(I198="",J198="Done"),"",IF(I198&lt;TODAY(),"OVERDUE",""))</f>
        <v/>
      </c>
      <c r="S198" s="23" t="n"/>
    </row>
    <row r="199">
      <c r="A199" s="23" t="n"/>
      <c r="B199" s="23" t="n"/>
      <c r="C199" s="23" t="n"/>
      <c r="D199" s="23" t="n"/>
      <c r="E199" s="23" t="n"/>
      <c r="F199" s="23" t="n"/>
      <c r="G199" s="23">
        <f>IF(F199="","",IF(F199="All","Whole team",IFERROR(INDEX(Team!$B$5:$B$10,MATCH(F199,Team!$A$5:$A$10,0)),"")))</f>
        <v/>
      </c>
      <c r="H199" s="26" t="n"/>
      <c r="I199" s="26" t="n"/>
      <c r="J199" s="27" t="n"/>
      <c r="K199" s="28" t="n"/>
      <c r="L199" s="23" t="n"/>
      <c r="M199" s="23" t="n"/>
      <c r="N199" s="27" t="n"/>
      <c r="O199" s="29" t="n"/>
      <c r="P199" s="27" t="n"/>
      <c r="Q199" s="27" t="n"/>
      <c r="R199" s="23">
        <f>IF(OR(I199="",J199="Done"),"",IF(I199&lt;TODAY(),"OVERDUE",""))</f>
        <v/>
      </c>
      <c r="S199" s="23" t="n"/>
    </row>
    <row r="200">
      <c r="A200" s="23" t="n"/>
      <c r="B200" s="23" t="n"/>
      <c r="C200" s="23" t="n"/>
      <c r="D200" s="23" t="n"/>
      <c r="E200" s="23" t="n"/>
      <c r="F200" s="23" t="n"/>
      <c r="G200" s="23">
        <f>IF(F200="","",IF(F200="All","Whole team",IFERROR(INDEX(Team!$B$5:$B$10,MATCH(F200,Team!$A$5:$A$10,0)),"")))</f>
        <v/>
      </c>
      <c r="H200" s="26" t="n"/>
      <c r="I200" s="26" t="n"/>
      <c r="J200" s="27" t="n"/>
      <c r="K200" s="28" t="n"/>
      <c r="L200" s="23" t="n"/>
      <c r="M200" s="23" t="n"/>
      <c r="N200" s="27" t="n"/>
      <c r="O200" s="29" t="n"/>
      <c r="P200" s="27" t="n"/>
      <c r="Q200" s="27" t="n"/>
      <c r="R200" s="23">
        <f>IF(OR(I200="",J200="Done"),"",IF(I200&lt;TODAY(),"OVERDUE",""))</f>
        <v/>
      </c>
      <c r="S200" s="23" t="n"/>
    </row>
    <row r="201">
      <c r="A201" s="23" t="n"/>
      <c r="B201" s="23" t="n"/>
      <c r="C201" s="23" t="n"/>
      <c r="D201" s="23" t="n"/>
      <c r="E201" s="23" t="n"/>
      <c r="F201" s="23" t="n"/>
      <c r="G201" s="23">
        <f>IF(F201="","",IF(F201="All","Whole team",IFERROR(INDEX(Team!$B$5:$B$10,MATCH(F201,Team!$A$5:$A$10,0)),"")))</f>
        <v/>
      </c>
      <c r="H201" s="26" t="n"/>
      <c r="I201" s="26" t="n"/>
      <c r="J201" s="27" t="n"/>
      <c r="K201" s="28" t="n"/>
      <c r="L201" s="23" t="n"/>
      <c r="M201" s="23" t="n"/>
      <c r="N201" s="27" t="n"/>
      <c r="O201" s="29" t="n"/>
      <c r="P201" s="27" t="n"/>
      <c r="Q201" s="27" t="n"/>
      <c r="R201" s="23">
        <f>IF(OR(I201="",J201="Done"),"",IF(I201&lt;TODAY(),"OVERDUE",""))</f>
        <v/>
      </c>
      <c r="S201" s="23" t="n"/>
    </row>
    <row r="202">
      <c r="A202" s="23" t="n"/>
      <c r="B202" s="23" t="n"/>
      <c r="C202" s="23" t="n"/>
      <c r="D202" s="23" t="n"/>
      <c r="E202" s="23" t="n"/>
      <c r="F202" s="23" t="n"/>
      <c r="G202" s="23">
        <f>IF(F202="","",IF(F202="All","Whole team",IFERROR(INDEX(Team!$B$5:$B$10,MATCH(F202,Team!$A$5:$A$10,0)),"")))</f>
        <v/>
      </c>
      <c r="H202" s="26" t="n"/>
      <c r="I202" s="26" t="n"/>
      <c r="J202" s="27" t="n"/>
      <c r="K202" s="28" t="n"/>
      <c r="L202" s="23" t="n"/>
      <c r="M202" s="23" t="n"/>
      <c r="N202" s="27" t="n"/>
      <c r="O202" s="29" t="n"/>
      <c r="P202" s="27" t="n"/>
      <c r="Q202" s="27" t="n"/>
      <c r="R202" s="23">
        <f>IF(OR(I202="",J202="Done"),"",IF(I202&lt;TODAY(),"OVERDUE",""))</f>
        <v/>
      </c>
      <c r="S202" s="23" t="n"/>
    </row>
    <row r="203">
      <c r="A203" s="23" t="n"/>
      <c r="B203" s="23" t="n"/>
      <c r="C203" s="23" t="n"/>
      <c r="D203" s="23" t="n"/>
      <c r="E203" s="23" t="n"/>
      <c r="F203" s="23" t="n"/>
      <c r="G203" s="23">
        <f>IF(F203="","",IF(F203="All","Whole team",IFERROR(INDEX(Team!$B$5:$B$10,MATCH(F203,Team!$A$5:$A$10,0)),"")))</f>
        <v/>
      </c>
      <c r="H203" s="26" t="n"/>
      <c r="I203" s="26" t="n"/>
      <c r="J203" s="27" t="n"/>
      <c r="K203" s="28" t="n"/>
      <c r="L203" s="23" t="n"/>
      <c r="M203" s="23" t="n"/>
      <c r="N203" s="27" t="n"/>
      <c r="O203" s="29" t="n"/>
      <c r="P203" s="27" t="n"/>
      <c r="Q203" s="27" t="n"/>
      <c r="R203" s="23">
        <f>IF(OR(I203="",J203="Done"),"",IF(I203&lt;TODAY(),"OVERDUE",""))</f>
        <v/>
      </c>
      <c r="S203" s="23" t="n"/>
    </row>
    <row r="204">
      <c r="A204" s="23" t="n"/>
      <c r="B204" s="23" t="n"/>
      <c r="C204" s="23" t="n"/>
      <c r="D204" s="23" t="n"/>
      <c r="E204" s="23" t="n"/>
      <c r="F204" s="23" t="n"/>
      <c r="G204" s="23">
        <f>IF(F204="","",IF(F204="All","Whole team",IFERROR(INDEX(Team!$B$5:$B$10,MATCH(F204,Team!$A$5:$A$10,0)),"")))</f>
        <v/>
      </c>
      <c r="H204" s="26" t="n"/>
      <c r="I204" s="26" t="n"/>
      <c r="J204" s="27" t="n"/>
      <c r="K204" s="28" t="n"/>
      <c r="L204" s="23" t="n"/>
      <c r="M204" s="23" t="n"/>
      <c r="N204" s="27" t="n"/>
      <c r="O204" s="29" t="n"/>
      <c r="P204" s="27" t="n"/>
      <c r="Q204" s="27" t="n"/>
      <c r="R204" s="23">
        <f>IF(OR(I204="",J204="Done"),"",IF(I204&lt;TODAY(),"OVERDUE",""))</f>
        <v/>
      </c>
      <c r="S204" s="23" t="n"/>
    </row>
    <row r="205">
      <c r="A205" s="23" t="n"/>
      <c r="B205" s="23" t="n"/>
      <c r="C205" s="23" t="n"/>
      <c r="D205" s="23" t="n"/>
      <c r="E205" s="23" t="n"/>
      <c r="F205" s="23" t="n"/>
      <c r="G205" s="23">
        <f>IF(F205="","",IF(F205="All","Whole team",IFERROR(INDEX(Team!$B$5:$B$10,MATCH(F205,Team!$A$5:$A$10,0)),"")))</f>
        <v/>
      </c>
      <c r="H205" s="26" t="n"/>
      <c r="I205" s="26" t="n"/>
      <c r="J205" s="27" t="n"/>
      <c r="K205" s="28" t="n"/>
      <c r="L205" s="23" t="n"/>
      <c r="M205" s="23" t="n"/>
      <c r="N205" s="27" t="n"/>
      <c r="O205" s="29" t="n"/>
      <c r="P205" s="27" t="n"/>
      <c r="Q205" s="27" t="n"/>
      <c r="R205" s="23">
        <f>IF(OR(I205="",J205="Done"),"",IF(I205&lt;TODAY(),"OVERDUE",""))</f>
        <v/>
      </c>
      <c r="S205" s="23" t="n"/>
    </row>
    <row r="206">
      <c r="A206" s="23" t="n"/>
      <c r="B206" s="23" t="n"/>
      <c r="C206" s="23" t="n"/>
      <c r="D206" s="23" t="n"/>
      <c r="E206" s="23" t="n"/>
      <c r="F206" s="23" t="n"/>
      <c r="G206" s="23">
        <f>IF(F206="","",IF(F206="All","Whole team",IFERROR(INDEX(Team!$B$5:$B$10,MATCH(F206,Team!$A$5:$A$10,0)),"")))</f>
        <v/>
      </c>
      <c r="H206" s="26" t="n"/>
      <c r="I206" s="26" t="n"/>
      <c r="J206" s="27" t="n"/>
      <c r="K206" s="28" t="n"/>
      <c r="L206" s="23" t="n"/>
      <c r="M206" s="23" t="n"/>
      <c r="N206" s="27" t="n"/>
      <c r="O206" s="29" t="n"/>
      <c r="P206" s="27" t="n"/>
      <c r="Q206" s="27" t="n"/>
      <c r="R206" s="23">
        <f>IF(OR(I206="",J206="Done"),"",IF(I206&lt;TODAY(),"OVERDUE",""))</f>
        <v/>
      </c>
      <c r="S206" s="23" t="n"/>
    </row>
    <row r="207">
      <c r="A207" s="23" t="n"/>
      <c r="B207" s="23" t="n"/>
      <c r="C207" s="23" t="n"/>
      <c r="D207" s="23" t="n"/>
      <c r="E207" s="23" t="n"/>
      <c r="F207" s="23" t="n"/>
      <c r="G207" s="23">
        <f>IF(F207="","",IF(F207="All","Whole team",IFERROR(INDEX(Team!$B$5:$B$10,MATCH(F207,Team!$A$5:$A$10,0)),"")))</f>
        <v/>
      </c>
      <c r="H207" s="26" t="n"/>
      <c r="I207" s="26" t="n"/>
      <c r="J207" s="27" t="n"/>
      <c r="K207" s="28" t="n"/>
      <c r="L207" s="23" t="n"/>
      <c r="M207" s="23" t="n"/>
      <c r="N207" s="27" t="n"/>
      <c r="O207" s="29" t="n"/>
      <c r="P207" s="27" t="n"/>
      <c r="Q207" s="27" t="n"/>
      <c r="R207" s="23">
        <f>IF(OR(I207="",J207="Done"),"",IF(I207&lt;TODAY(),"OVERDUE",""))</f>
        <v/>
      </c>
      <c r="S207" s="23" t="n"/>
    </row>
    <row r="208">
      <c r="A208" s="23" t="n"/>
      <c r="B208" s="23" t="n"/>
      <c r="C208" s="23" t="n"/>
      <c r="D208" s="23" t="n"/>
      <c r="E208" s="23" t="n"/>
      <c r="F208" s="23" t="n"/>
      <c r="G208" s="23">
        <f>IF(F208="","",IF(F208="All","Whole team",IFERROR(INDEX(Team!$B$5:$B$10,MATCH(F208,Team!$A$5:$A$10,0)),"")))</f>
        <v/>
      </c>
      <c r="H208" s="26" t="n"/>
      <c r="I208" s="26" t="n"/>
      <c r="J208" s="27" t="n"/>
      <c r="K208" s="28" t="n"/>
      <c r="L208" s="23" t="n"/>
      <c r="M208" s="23" t="n"/>
      <c r="N208" s="27" t="n"/>
      <c r="O208" s="29" t="n"/>
      <c r="P208" s="27" t="n"/>
      <c r="Q208" s="27" t="n"/>
      <c r="R208" s="23">
        <f>IF(OR(I208="",J208="Done"),"",IF(I208&lt;TODAY(),"OVERDUE",""))</f>
        <v/>
      </c>
      <c r="S208" s="23" t="n"/>
    </row>
    <row r="209">
      <c r="A209" s="23" t="n"/>
      <c r="B209" s="23" t="n"/>
      <c r="C209" s="23" t="n"/>
      <c r="D209" s="23" t="n"/>
      <c r="E209" s="23" t="n"/>
      <c r="F209" s="23" t="n"/>
      <c r="G209" s="23">
        <f>IF(F209="","",IF(F209="All","Whole team",IFERROR(INDEX(Team!$B$5:$B$10,MATCH(F209,Team!$A$5:$A$10,0)),"")))</f>
        <v/>
      </c>
      <c r="H209" s="26" t="n"/>
      <c r="I209" s="26" t="n"/>
      <c r="J209" s="27" t="n"/>
      <c r="K209" s="28" t="n"/>
      <c r="L209" s="23" t="n"/>
      <c r="M209" s="23" t="n"/>
      <c r="N209" s="27" t="n"/>
      <c r="O209" s="29" t="n"/>
      <c r="P209" s="27" t="n"/>
      <c r="Q209" s="27" t="n"/>
      <c r="R209" s="23">
        <f>IF(OR(I209="",J209="Done"),"",IF(I209&lt;TODAY(),"OVERDUE",""))</f>
        <v/>
      </c>
      <c r="S209" s="23" t="n"/>
    </row>
    <row r="210">
      <c r="A210" s="23" t="n"/>
      <c r="B210" s="23" t="n"/>
      <c r="C210" s="23" t="n"/>
      <c r="D210" s="23" t="n"/>
      <c r="E210" s="23" t="n"/>
      <c r="F210" s="23" t="n"/>
      <c r="G210" s="23">
        <f>IF(F210="","",IF(F210="All","Whole team",IFERROR(INDEX(Team!$B$5:$B$10,MATCH(F210,Team!$A$5:$A$10,0)),"")))</f>
        <v/>
      </c>
      <c r="H210" s="26" t="n"/>
      <c r="I210" s="26" t="n"/>
      <c r="J210" s="27" t="n"/>
      <c r="K210" s="28" t="n"/>
      <c r="L210" s="23" t="n"/>
      <c r="M210" s="23" t="n"/>
      <c r="N210" s="27" t="n"/>
      <c r="O210" s="29" t="n"/>
      <c r="P210" s="27" t="n"/>
      <c r="Q210" s="27" t="n"/>
      <c r="R210" s="23">
        <f>IF(OR(I210="",J210="Done"),"",IF(I210&lt;TODAY(),"OVERDUE",""))</f>
        <v/>
      </c>
      <c r="S210" s="23" t="n"/>
    </row>
    <row r="211">
      <c r="A211" s="23" t="n"/>
      <c r="B211" s="23" t="n"/>
      <c r="C211" s="23" t="n"/>
      <c r="D211" s="23" t="n"/>
      <c r="E211" s="23" t="n"/>
      <c r="F211" s="23" t="n"/>
      <c r="G211" s="23">
        <f>IF(F211="","",IF(F211="All","Whole team",IFERROR(INDEX(Team!$B$5:$B$10,MATCH(F211,Team!$A$5:$A$10,0)),"")))</f>
        <v/>
      </c>
      <c r="H211" s="26" t="n"/>
      <c r="I211" s="26" t="n"/>
      <c r="J211" s="27" t="n"/>
      <c r="K211" s="28" t="n"/>
      <c r="L211" s="23" t="n"/>
      <c r="M211" s="23" t="n"/>
      <c r="N211" s="27" t="n"/>
      <c r="O211" s="29" t="n"/>
      <c r="P211" s="27" t="n"/>
      <c r="Q211" s="27" t="n"/>
      <c r="R211" s="23">
        <f>IF(OR(I211="",J211="Done"),"",IF(I211&lt;TODAY(),"OVERDUE",""))</f>
        <v/>
      </c>
      <c r="S211" s="23" t="n"/>
    </row>
    <row r="212">
      <c r="A212" s="23" t="n"/>
      <c r="B212" s="23" t="n"/>
      <c r="C212" s="23" t="n"/>
      <c r="D212" s="23" t="n"/>
      <c r="E212" s="23" t="n"/>
      <c r="F212" s="23" t="n"/>
      <c r="G212" s="23">
        <f>IF(F212="","",IF(F212="All","Whole team",IFERROR(INDEX(Team!$B$5:$B$10,MATCH(F212,Team!$A$5:$A$10,0)),"")))</f>
        <v/>
      </c>
      <c r="H212" s="26" t="n"/>
      <c r="I212" s="26" t="n"/>
      <c r="J212" s="27" t="n"/>
      <c r="K212" s="28" t="n"/>
      <c r="L212" s="23" t="n"/>
      <c r="M212" s="23" t="n"/>
      <c r="N212" s="27" t="n"/>
      <c r="O212" s="29" t="n"/>
      <c r="P212" s="27" t="n"/>
      <c r="Q212" s="27" t="n"/>
      <c r="R212" s="23">
        <f>IF(OR(I212="",J212="Done"),"",IF(I212&lt;TODAY(),"OVERDUE",""))</f>
        <v/>
      </c>
      <c r="S212" s="23" t="n"/>
    </row>
    <row r="213">
      <c r="A213" s="23" t="n"/>
      <c r="B213" s="23" t="n"/>
      <c r="C213" s="23" t="n"/>
      <c r="D213" s="23" t="n"/>
      <c r="E213" s="23" t="n"/>
      <c r="F213" s="23" t="n"/>
      <c r="G213" s="23">
        <f>IF(F213="","",IF(F213="All","Whole team",IFERROR(INDEX(Team!$B$5:$B$10,MATCH(F213,Team!$A$5:$A$10,0)),"")))</f>
        <v/>
      </c>
      <c r="H213" s="26" t="n"/>
      <c r="I213" s="26" t="n"/>
      <c r="J213" s="27" t="n"/>
      <c r="K213" s="28" t="n"/>
      <c r="L213" s="23" t="n"/>
      <c r="M213" s="23" t="n"/>
      <c r="N213" s="27" t="n"/>
      <c r="O213" s="29" t="n"/>
      <c r="P213" s="27" t="n"/>
      <c r="Q213" s="27" t="n"/>
      <c r="R213" s="23">
        <f>IF(OR(I213="",J213="Done"),"",IF(I213&lt;TODAY(),"OVERDUE",""))</f>
        <v/>
      </c>
      <c r="S213" s="23" t="n"/>
    </row>
    <row r="214">
      <c r="A214" s="23" t="n"/>
      <c r="B214" s="23" t="n"/>
      <c r="C214" s="23" t="n"/>
      <c r="D214" s="23" t="n"/>
      <c r="E214" s="23" t="n"/>
      <c r="F214" s="23" t="n"/>
      <c r="G214" s="23">
        <f>IF(F214="","",IF(F214="All","Whole team",IFERROR(INDEX(Team!$B$5:$B$10,MATCH(F214,Team!$A$5:$A$10,0)),"")))</f>
        <v/>
      </c>
      <c r="H214" s="26" t="n"/>
      <c r="I214" s="26" t="n"/>
      <c r="J214" s="27" t="n"/>
      <c r="K214" s="28" t="n"/>
      <c r="L214" s="23" t="n"/>
      <c r="M214" s="23" t="n"/>
      <c r="N214" s="27" t="n"/>
      <c r="O214" s="29" t="n"/>
      <c r="P214" s="27" t="n"/>
      <c r="Q214" s="27" t="n"/>
      <c r="R214" s="23">
        <f>IF(OR(I214="",J214="Done"),"",IF(I214&lt;TODAY(),"OVERDUE",""))</f>
        <v/>
      </c>
      <c r="S214" s="23" t="n"/>
    </row>
    <row r="215">
      <c r="A215" s="23" t="n"/>
      <c r="B215" s="23" t="n"/>
      <c r="C215" s="23" t="n"/>
      <c r="D215" s="23" t="n"/>
      <c r="E215" s="23" t="n"/>
      <c r="F215" s="23" t="n"/>
      <c r="G215" s="23">
        <f>IF(F215="","",IF(F215="All","Whole team",IFERROR(INDEX(Team!$B$5:$B$10,MATCH(F215,Team!$A$5:$A$10,0)),"")))</f>
        <v/>
      </c>
      <c r="H215" s="26" t="n"/>
      <c r="I215" s="26" t="n"/>
      <c r="J215" s="27" t="n"/>
      <c r="K215" s="28" t="n"/>
      <c r="L215" s="23" t="n"/>
      <c r="M215" s="23" t="n"/>
      <c r="N215" s="27" t="n"/>
      <c r="O215" s="29" t="n"/>
      <c r="P215" s="27" t="n"/>
      <c r="Q215" s="27" t="n"/>
      <c r="R215" s="23">
        <f>IF(OR(I215="",J215="Done"),"",IF(I215&lt;TODAY(),"OVERDUE",""))</f>
        <v/>
      </c>
      <c r="S215" s="23" t="n"/>
    </row>
    <row r="216">
      <c r="A216" s="23" t="n"/>
      <c r="B216" s="23" t="n"/>
      <c r="C216" s="23" t="n"/>
      <c r="D216" s="23" t="n"/>
      <c r="E216" s="23" t="n"/>
      <c r="F216" s="23" t="n"/>
      <c r="G216" s="23">
        <f>IF(F216="","",IF(F216="All","Whole team",IFERROR(INDEX(Team!$B$5:$B$10,MATCH(F216,Team!$A$5:$A$10,0)),"")))</f>
        <v/>
      </c>
      <c r="H216" s="26" t="n"/>
      <c r="I216" s="26" t="n"/>
      <c r="J216" s="27" t="n"/>
      <c r="K216" s="28" t="n"/>
      <c r="L216" s="23" t="n"/>
      <c r="M216" s="23" t="n"/>
      <c r="N216" s="27" t="n"/>
      <c r="O216" s="29" t="n"/>
      <c r="P216" s="27" t="n"/>
      <c r="Q216" s="27" t="n"/>
      <c r="R216" s="23">
        <f>IF(OR(I216="",J216="Done"),"",IF(I216&lt;TODAY(),"OVERDUE",""))</f>
        <v/>
      </c>
      <c r="S216" s="23" t="n"/>
    </row>
    <row r="217">
      <c r="A217" s="23" t="n"/>
      <c r="B217" s="23" t="n"/>
      <c r="C217" s="23" t="n"/>
      <c r="D217" s="23" t="n"/>
      <c r="E217" s="23" t="n"/>
      <c r="F217" s="23" t="n"/>
      <c r="G217" s="23">
        <f>IF(F217="","",IF(F217="All","Whole team",IFERROR(INDEX(Team!$B$5:$B$10,MATCH(F217,Team!$A$5:$A$10,0)),"")))</f>
        <v/>
      </c>
      <c r="H217" s="26" t="n"/>
      <c r="I217" s="26" t="n"/>
      <c r="J217" s="27" t="n"/>
      <c r="K217" s="28" t="n"/>
      <c r="L217" s="23" t="n"/>
      <c r="M217" s="23" t="n"/>
      <c r="N217" s="27" t="n"/>
      <c r="O217" s="29" t="n"/>
      <c r="P217" s="27" t="n"/>
      <c r="Q217" s="27" t="n"/>
      <c r="R217" s="23">
        <f>IF(OR(I217="",J217="Done"),"",IF(I217&lt;TODAY(),"OVERDUE",""))</f>
        <v/>
      </c>
      <c r="S217" s="23" t="n"/>
    </row>
    <row r="218">
      <c r="A218" s="23" t="n"/>
      <c r="B218" s="23" t="n"/>
      <c r="C218" s="23" t="n"/>
      <c r="D218" s="23" t="n"/>
      <c r="E218" s="23" t="n"/>
      <c r="F218" s="23" t="n"/>
      <c r="G218" s="23">
        <f>IF(F218="","",IF(F218="All","Whole team",IFERROR(INDEX(Team!$B$5:$B$10,MATCH(F218,Team!$A$5:$A$10,0)),"")))</f>
        <v/>
      </c>
      <c r="H218" s="26" t="n"/>
      <c r="I218" s="26" t="n"/>
      <c r="J218" s="27" t="n"/>
      <c r="K218" s="28" t="n"/>
      <c r="L218" s="23" t="n"/>
      <c r="M218" s="23" t="n"/>
      <c r="N218" s="27" t="n"/>
      <c r="O218" s="29" t="n"/>
      <c r="P218" s="27" t="n"/>
      <c r="Q218" s="27" t="n"/>
      <c r="R218" s="23">
        <f>IF(OR(I218="",J218="Done"),"",IF(I218&lt;TODAY(),"OVERDUE",""))</f>
        <v/>
      </c>
      <c r="S218" s="23" t="n"/>
    </row>
    <row r="219">
      <c r="A219" s="23" t="n"/>
      <c r="B219" s="23" t="n"/>
      <c r="C219" s="23" t="n"/>
      <c r="D219" s="23" t="n"/>
      <c r="E219" s="23" t="n"/>
      <c r="F219" s="23" t="n"/>
      <c r="G219" s="23">
        <f>IF(F219="","",IF(F219="All","Whole team",IFERROR(INDEX(Team!$B$5:$B$10,MATCH(F219,Team!$A$5:$A$10,0)),"")))</f>
        <v/>
      </c>
      <c r="H219" s="26" t="n"/>
      <c r="I219" s="26" t="n"/>
      <c r="J219" s="27" t="n"/>
      <c r="K219" s="28" t="n"/>
      <c r="L219" s="23" t="n"/>
      <c r="M219" s="23" t="n"/>
      <c r="N219" s="27" t="n"/>
      <c r="O219" s="29" t="n"/>
      <c r="P219" s="27" t="n"/>
      <c r="Q219" s="27" t="n"/>
      <c r="R219" s="23">
        <f>IF(OR(I219="",J219="Done"),"",IF(I219&lt;TODAY(),"OVERDUE",""))</f>
        <v/>
      </c>
      <c r="S219" s="23" t="n"/>
    </row>
    <row r="220">
      <c r="A220" s="23" t="n"/>
      <c r="B220" s="23" t="n"/>
      <c r="C220" s="23" t="n"/>
      <c r="D220" s="23" t="n"/>
      <c r="E220" s="23" t="n"/>
      <c r="F220" s="23" t="n"/>
      <c r="G220" s="23">
        <f>IF(F220="","",IF(F220="All","Whole team",IFERROR(INDEX(Team!$B$5:$B$10,MATCH(F220,Team!$A$5:$A$10,0)),"")))</f>
        <v/>
      </c>
      <c r="H220" s="26" t="n"/>
      <c r="I220" s="26" t="n"/>
      <c r="J220" s="27" t="n"/>
      <c r="K220" s="28" t="n"/>
      <c r="L220" s="23" t="n"/>
      <c r="M220" s="23" t="n"/>
      <c r="N220" s="27" t="n"/>
      <c r="O220" s="29" t="n"/>
      <c r="P220" s="27" t="n"/>
      <c r="Q220" s="27" t="n"/>
      <c r="R220" s="23">
        <f>IF(OR(I220="",J220="Done"),"",IF(I220&lt;TODAY(),"OVERDUE",""))</f>
        <v/>
      </c>
      <c r="S220" s="23" t="n"/>
    </row>
    <row r="221">
      <c r="A221" s="23" t="n"/>
      <c r="B221" s="23" t="n"/>
      <c r="C221" s="23" t="n"/>
      <c r="D221" s="23" t="n"/>
      <c r="E221" s="23" t="n"/>
      <c r="F221" s="23" t="n"/>
      <c r="G221" s="23">
        <f>IF(F221="","",IF(F221="All","Whole team",IFERROR(INDEX(Team!$B$5:$B$10,MATCH(F221,Team!$A$5:$A$10,0)),"")))</f>
        <v/>
      </c>
      <c r="H221" s="26" t="n"/>
      <c r="I221" s="26" t="n"/>
      <c r="J221" s="27" t="n"/>
      <c r="K221" s="28" t="n"/>
      <c r="L221" s="23" t="n"/>
      <c r="M221" s="23" t="n"/>
      <c r="N221" s="27" t="n"/>
      <c r="O221" s="29" t="n"/>
      <c r="P221" s="27" t="n"/>
      <c r="Q221" s="27" t="n"/>
      <c r="R221" s="23">
        <f>IF(OR(I221="",J221="Done"),"",IF(I221&lt;TODAY(),"OVERDUE",""))</f>
        <v/>
      </c>
      <c r="S221" s="23" t="n"/>
    </row>
    <row r="222">
      <c r="A222" s="23" t="n"/>
      <c r="B222" s="23" t="n"/>
      <c r="C222" s="23" t="n"/>
      <c r="D222" s="23" t="n"/>
      <c r="E222" s="23" t="n"/>
      <c r="F222" s="23" t="n"/>
      <c r="G222" s="23">
        <f>IF(F222="","",IF(F222="All","Whole team",IFERROR(INDEX(Team!$B$5:$B$10,MATCH(F222,Team!$A$5:$A$10,0)),"")))</f>
        <v/>
      </c>
      <c r="H222" s="26" t="n"/>
      <c r="I222" s="26" t="n"/>
      <c r="J222" s="27" t="n"/>
      <c r="K222" s="28" t="n"/>
      <c r="L222" s="23" t="n"/>
      <c r="M222" s="23" t="n"/>
      <c r="N222" s="27" t="n"/>
      <c r="O222" s="29" t="n"/>
      <c r="P222" s="27" t="n"/>
      <c r="Q222" s="27" t="n"/>
      <c r="R222" s="23">
        <f>IF(OR(I222="",J222="Done"),"",IF(I222&lt;TODAY(),"OVERDUE",""))</f>
        <v/>
      </c>
      <c r="S222" s="23" t="n"/>
    </row>
    <row r="223">
      <c r="A223" s="23" t="n"/>
      <c r="B223" s="23" t="n"/>
      <c r="C223" s="23" t="n"/>
      <c r="D223" s="23" t="n"/>
      <c r="E223" s="23" t="n"/>
      <c r="F223" s="23" t="n"/>
      <c r="G223" s="23">
        <f>IF(F223="","",IF(F223="All","Whole team",IFERROR(INDEX(Team!$B$5:$B$10,MATCH(F223,Team!$A$5:$A$10,0)),"")))</f>
        <v/>
      </c>
      <c r="H223" s="26" t="n"/>
      <c r="I223" s="26" t="n"/>
      <c r="J223" s="27" t="n"/>
      <c r="K223" s="28" t="n"/>
      <c r="L223" s="23" t="n"/>
      <c r="M223" s="23" t="n"/>
      <c r="N223" s="27" t="n"/>
      <c r="O223" s="29" t="n"/>
      <c r="P223" s="27" t="n"/>
      <c r="Q223" s="27" t="n"/>
      <c r="R223" s="23">
        <f>IF(OR(I223="",J223="Done"),"",IF(I223&lt;TODAY(),"OVERDUE",""))</f>
        <v/>
      </c>
      <c r="S223" s="23" t="n"/>
    </row>
    <row r="224">
      <c r="A224" s="23" t="n"/>
      <c r="B224" s="23" t="n"/>
      <c r="C224" s="23" t="n"/>
      <c r="D224" s="23" t="n"/>
      <c r="E224" s="23" t="n"/>
      <c r="F224" s="23" t="n"/>
      <c r="G224" s="23">
        <f>IF(F224="","",IF(F224="All","Whole team",IFERROR(INDEX(Team!$B$5:$B$10,MATCH(F224,Team!$A$5:$A$10,0)),"")))</f>
        <v/>
      </c>
      <c r="H224" s="26" t="n"/>
      <c r="I224" s="26" t="n"/>
      <c r="J224" s="27" t="n"/>
      <c r="K224" s="28" t="n"/>
      <c r="L224" s="23" t="n"/>
      <c r="M224" s="23" t="n"/>
      <c r="N224" s="27" t="n"/>
      <c r="O224" s="29" t="n"/>
      <c r="P224" s="27" t="n"/>
      <c r="Q224" s="27" t="n"/>
      <c r="R224" s="23">
        <f>IF(OR(I224="",J224="Done"),"",IF(I224&lt;TODAY(),"OVERDUE",""))</f>
        <v/>
      </c>
      <c r="S224" s="23" t="n"/>
    </row>
    <row r="225">
      <c r="A225" s="23" t="n"/>
      <c r="B225" s="23" t="n"/>
      <c r="C225" s="23" t="n"/>
      <c r="D225" s="23" t="n"/>
      <c r="E225" s="23" t="n"/>
      <c r="F225" s="23" t="n"/>
      <c r="G225" s="23">
        <f>IF(F225="","",IF(F225="All","Whole team",IFERROR(INDEX(Team!$B$5:$B$10,MATCH(F225,Team!$A$5:$A$10,0)),"")))</f>
        <v/>
      </c>
      <c r="H225" s="26" t="n"/>
      <c r="I225" s="26" t="n"/>
      <c r="J225" s="27" t="n"/>
      <c r="K225" s="28" t="n"/>
      <c r="L225" s="23" t="n"/>
      <c r="M225" s="23" t="n"/>
      <c r="N225" s="27" t="n"/>
      <c r="O225" s="29" t="n"/>
      <c r="P225" s="27" t="n"/>
      <c r="Q225" s="27" t="n"/>
      <c r="R225" s="23">
        <f>IF(OR(I225="",J225="Done"),"",IF(I225&lt;TODAY(),"OVERDUE",""))</f>
        <v/>
      </c>
      <c r="S225" s="23" t="n"/>
    </row>
    <row r="226">
      <c r="A226" s="23" t="n"/>
      <c r="B226" s="23" t="n"/>
      <c r="C226" s="23" t="n"/>
      <c r="D226" s="23" t="n"/>
      <c r="E226" s="23" t="n"/>
      <c r="F226" s="23" t="n"/>
      <c r="G226" s="23">
        <f>IF(F226="","",IF(F226="All","Whole team",IFERROR(INDEX(Team!$B$5:$B$10,MATCH(F226,Team!$A$5:$A$10,0)),"")))</f>
        <v/>
      </c>
      <c r="H226" s="26" t="n"/>
      <c r="I226" s="26" t="n"/>
      <c r="J226" s="27" t="n"/>
      <c r="K226" s="28" t="n"/>
      <c r="L226" s="23" t="n"/>
      <c r="M226" s="23" t="n"/>
      <c r="N226" s="27" t="n"/>
      <c r="O226" s="29" t="n"/>
      <c r="P226" s="27" t="n"/>
      <c r="Q226" s="27" t="n"/>
      <c r="R226" s="23">
        <f>IF(OR(I226="",J226="Done"),"",IF(I226&lt;TODAY(),"OVERDUE",""))</f>
        <v/>
      </c>
      <c r="S226" s="23" t="n"/>
    </row>
    <row r="227">
      <c r="A227" s="23" t="n"/>
      <c r="B227" s="23" t="n"/>
      <c r="C227" s="23" t="n"/>
      <c r="D227" s="23" t="n"/>
      <c r="E227" s="23" t="n"/>
      <c r="F227" s="23" t="n"/>
      <c r="G227" s="23">
        <f>IF(F227="","",IF(F227="All","Whole team",IFERROR(INDEX(Team!$B$5:$B$10,MATCH(F227,Team!$A$5:$A$10,0)),"")))</f>
        <v/>
      </c>
      <c r="H227" s="26" t="n"/>
      <c r="I227" s="26" t="n"/>
      <c r="J227" s="27" t="n"/>
      <c r="K227" s="28" t="n"/>
      <c r="L227" s="23" t="n"/>
      <c r="M227" s="23" t="n"/>
      <c r="N227" s="27" t="n"/>
      <c r="O227" s="29" t="n"/>
      <c r="P227" s="27" t="n"/>
      <c r="Q227" s="27" t="n"/>
      <c r="R227" s="23">
        <f>IF(OR(I227="",J227="Done"),"",IF(I227&lt;TODAY(),"OVERDUE",""))</f>
        <v/>
      </c>
      <c r="S227" s="23" t="n"/>
    </row>
    <row r="228">
      <c r="A228" s="23" t="n"/>
      <c r="B228" s="23" t="n"/>
      <c r="C228" s="23" t="n"/>
      <c r="D228" s="23" t="n"/>
      <c r="E228" s="23" t="n"/>
      <c r="F228" s="23" t="n"/>
      <c r="G228" s="23">
        <f>IF(F228="","",IF(F228="All","Whole team",IFERROR(INDEX(Team!$B$5:$B$10,MATCH(F228,Team!$A$5:$A$10,0)),"")))</f>
        <v/>
      </c>
      <c r="H228" s="26" t="n"/>
      <c r="I228" s="26" t="n"/>
      <c r="J228" s="27" t="n"/>
      <c r="K228" s="28" t="n"/>
      <c r="L228" s="23" t="n"/>
      <c r="M228" s="23" t="n"/>
      <c r="N228" s="27" t="n"/>
      <c r="O228" s="29" t="n"/>
      <c r="P228" s="27" t="n"/>
      <c r="Q228" s="27" t="n"/>
      <c r="R228" s="23">
        <f>IF(OR(I228="",J228="Done"),"",IF(I228&lt;TODAY(),"OVERDUE",""))</f>
        <v/>
      </c>
      <c r="S228" s="23" t="n"/>
    </row>
    <row r="229">
      <c r="A229" s="23" t="n"/>
      <c r="B229" s="23" t="n"/>
      <c r="C229" s="23" t="n"/>
      <c r="D229" s="23" t="n"/>
      <c r="E229" s="23" t="n"/>
      <c r="F229" s="23" t="n"/>
      <c r="G229" s="23">
        <f>IF(F229="","",IF(F229="All","Whole team",IFERROR(INDEX(Team!$B$5:$B$10,MATCH(F229,Team!$A$5:$A$10,0)),"")))</f>
        <v/>
      </c>
      <c r="H229" s="26" t="n"/>
      <c r="I229" s="26" t="n"/>
      <c r="J229" s="27" t="n"/>
      <c r="K229" s="28" t="n"/>
      <c r="L229" s="23" t="n"/>
      <c r="M229" s="23" t="n"/>
      <c r="N229" s="27" t="n"/>
      <c r="O229" s="29" t="n"/>
      <c r="P229" s="27" t="n"/>
      <c r="Q229" s="27" t="n"/>
      <c r="R229" s="23">
        <f>IF(OR(I229="",J229="Done"),"",IF(I229&lt;TODAY(),"OVERDUE",""))</f>
        <v/>
      </c>
      <c r="S229" s="23" t="n"/>
    </row>
    <row r="230">
      <c r="A230" s="23" t="n"/>
      <c r="B230" s="23" t="n"/>
      <c r="C230" s="23" t="n"/>
      <c r="D230" s="23" t="n"/>
      <c r="E230" s="23" t="n"/>
      <c r="F230" s="23" t="n"/>
      <c r="G230" s="23">
        <f>IF(F230="","",IF(F230="All","Whole team",IFERROR(INDEX(Team!$B$5:$B$10,MATCH(F230,Team!$A$5:$A$10,0)),"")))</f>
        <v/>
      </c>
      <c r="H230" s="26" t="n"/>
      <c r="I230" s="26" t="n"/>
      <c r="J230" s="27" t="n"/>
      <c r="K230" s="28" t="n"/>
      <c r="L230" s="23" t="n"/>
      <c r="M230" s="23" t="n"/>
      <c r="N230" s="27" t="n"/>
      <c r="O230" s="29" t="n"/>
      <c r="P230" s="27" t="n"/>
      <c r="Q230" s="27" t="n"/>
      <c r="R230" s="23">
        <f>IF(OR(I230="",J230="Done"),"",IF(I230&lt;TODAY(),"OVERDUE",""))</f>
        <v/>
      </c>
      <c r="S230" s="23" t="n"/>
    </row>
    <row r="231">
      <c r="A231" s="23" t="n"/>
      <c r="B231" s="23" t="n"/>
      <c r="C231" s="23" t="n"/>
      <c r="D231" s="23" t="n"/>
      <c r="E231" s="23" t="n"/>
      <c r="F231" s="23" t="n"/>
      <c r="G231" s="23">
        <f>IF(F231="","",IF(F231="All","Whole team",IFERROR(INDEX(Team!$B$5:$B$10,MATCH(F231,Team!$A$5:$A$10,0)),"")))</f>
        <v/>
      </c>
      <c r="H231" s="26" t="n"/>
      <c r="I231" s="26" t="n"/>
      <c r="J231" s="27" t="n"/>
      <c r="K231" s="28" t="n"/>
      <c r="L231" s="23" t="n"/>
      <c r="M231" s="23" t="n"/>
      <c r="N231" s="27" t="n"/>
      <c r="O231" s="29" t="n"/>
      <c r="P231" s="27" t="n"/>
      <c r="Q231" s="27" t="n"/>
      <c r="R231" s="23">
        <f>IF(OR(I231="",J231="Done"),"",IF(I231&lt;TODAY(),"OVERDUE",""))</f>
        <v/>
      </c>
      <c r="S231" s="23" t="n"/>
    </row>
    <row r="232">
      <c r="A232" s="23" t="n"/>
      <c r="B232" s="23" t="n"/>
      <c r="C232" s="23" t="n"/>
      <c r="D232" s="23" t="n"/>
      <c r="E232" s="23" t="n"/>
      <c r="F232" s="23" t="n"/>
      <c r="G232" s="23">
        <f>IF(F232="","",IF(F232="All","Whole team",IFERROR(INDEX(Team!$B$5:$B$10,MATCH(F232,Team!$A$5:$A$10,0)),"")))</f>
        <v/>
      </c>
      <c r="H232" s="26" t="n"/>
      <c r="I232" s="26" t="n"/>
      <c r="J232" s="27" t="n"/>
      <c r="K232" s="28" t="n"/>
      <c r="L232" s="23" t="n"/>
      <c r="M232" s="23" t="n"/>
      <c r="N232" s="27" t="n"/>
      <c r="O232" s="29" t="n"/>
      <c r="P232" s="27" t="n"/>
      <c r="Q232" s="27" t="n"/>
      <c r="R232" s="23">
        <f>IF(OR(I232="",J232="Done"),"",IF(I232&lt;TODAY(),"OVERDUE",""))</f>
        <v/>
      </c>
      <c r="S232" s="23" t="n"/>
    </row>
    <row r="233">
      <c r="A233" s="23" t="n"/>
      <c r="B233" s="23" t="n"/>
      <c r="C233" s="23" t="n"/>
      <c r="D233" s="23" t="n"/>
      <c r="E233" s="23" t="n"/>
      <c r="F233" s="23" t="n"/>
      <c r="G233" s="23">
        <f>IF(F233="","",IF(F233="All","Whole team",IFERROR(INDEX(Team!$B$5:$B$10,MATCH(F233,Team!$A$5:$A$10,0)),"")))</f>
        <v/>
      </c>
      <c r="H233" s="26" t="n"/>
      <c r="I233" s="26" t="n"/>
      <c r="J233" s="27" t="n"/>
      <c r="K233" s="28" t="n"/>
      <c r="L233" s="23" t="n"/>
      <c r="M233" s="23" t="n"/>
      <c r="N233" s="27" t="n"/>
      <c r="O233" s="29" t="n"/>
      <c r="P233" s="27" t="n"/>
      <c r="Q233" s="27" t="n"/>
      <c r="R233" s="23">
        <f>IF(OR(I233="",J233="Done"),"",IF(I233&lt;TODAY(),"OVERDUE",""))</f>
        <v/>
      </c>
      <c r="S233" s="23" t="n"/>
    </row>
    <row r="234">
      <c r="A234" s="23" t="n"/>
      <c r="B234" s="23" t="n"/>
      <c r="C234" s="23" t="n"/>
      <c r="D234" s="23" t="n"/>
      <c r="E234" s="23" t="n"/>
      <c r="F234" s="23" t="n"/>
      <c r="G234" s="23">
        <f>IF(F234="","",IF(F234="All","Whole team",IFERROR(INDEX(Team!$B$5:$B$10,MATCH(F234,Team!$A$5:$A$10,0)),"")))</f>
        <v/>
      </c>
      <c r="H234" s="26" t="n"/>
      <c r="I234" s="26" t="n"/>
      <c r="J234" s="27" t="n"/>
      <c r="K234" s="28" t="n"/>
      <c r="L234" s="23" t="n"/>
      <c r="M234" s="23" t="n"/>
      <c r="N234" s="27" t="n"/>
      <c r="O234" s="29" t="n"/>
      <c r="P234" s="27" t="n"/>
      <c r="Q234" s="27" t="n"/>
      <c r="R234" s="23">
        <f>IF(OR(I234="",J234="Done"),"",IF(I234&lt;TODAY(),"OVERDUE",""))</f>
        <v/>
      </c>
      <c r="S234" s="23" t="n"/>
    </row>
    <row r="235">
      <c r="A235" s="23" t="n"/>
      <c r="B235" s="23" t="n"/>
      <c r="C235" s="23" t="n"/>
      <c r="D235" s="23" t="n"/>
      <c r="E235" s="23" t="n"/>
      <c r="F235" s="23" t="n"/>
      <c r="G235" s="23">
        <f>IF(F235="","",IF(F235="All","Whole team",IFERROR(INDEX(Team!$B$5:$B$10,MATCH(F235,Team!$A$5:$A$10,0)),"")))</f>
        <v/>
      </c>
      <c r="H235" s="26" t="n"/>
      <c r="I235" s="26" t="n"/>
      <c r="J235" s="27" t="n"/>
      <c r="K235" s="28" t="n"/>
      <c r="L235" s="23" t="n"/>
      <c r="M235" s="23" t="n"/>
      <c r="N235" s="27" t="n"/>
      <c r="O235" s="29" t="n"/>
      <c r="P235" s="27" t="n"/>
      <c r="Q235" s="27" t="n"/>
      <c r="R235" s="23">
        <f>IF(OR(I235="",J235="Done"),"",IF(I235&lt;TODAY(),"OVERDUE",""))</f>
        <v/>
      </c>
      <c r="S235" s="23" t="n"/>
    </row>
    <row r="236">
      <c r="A236" s="23" t="n"/>
      <c r="B236" s="23" t="n"/>
      <c r="C236" s="23" t="n"/>
      <c r="D236" s="23" t="n"/>
      <c r="E236" s="23" t="n"/>
      <c r="F236" s="23" t="n"/>
      <c r="G236" s="23">
        <f>IF(F236="","",IF(F236="All","Whole team",IFERROR(INDEX(Team!$B$5:$B$10,MATCH(F236,Team!$A$5:$A$10,0)),"")))</f>
        <v/>
      </c>
      <c r="H236" s="26" t="n"/>
      <c r="I236" s="26" t="n"/>
      <c r="J236" s="27" t="n"/>
      <c r="K236" s="28" t="n"/>
      <c r="L236" s="23" t="n"/>
      <c r="M236" s="23" t="n"/>
      <c r="N236" s="27" t="n"/>
      <c r="O236" s="29" t="n"/>
      <c r="P236" s="27" t="n"/>
      <c r="Q236" s="27" t="n"/>
      <c r="R236" s="23">
        <f>IF(OR(I236="",J236="Done"),"",IF(I236&lt;TODAY(),"OVERDUE",""))</f>
        <v/>
      </c>
      <c r="S236" s="23" t="n"/>
    </row>
    <row r="237">
      <c r="A237" s="23" t="n"/>
      <c r="B237" s="23" t="n"/>
      <c r="C237" s="23" t="n"/>
      <c r="D237" s="23" t="n"/>
      <c r="E237" s="23" t="n"/>
      <c r="F237" s="23" t="n"/>
      <c r="G237" s="23">
        <f>IF(F237="","",IF(F237="All","Whole team",IFERROR(INDEX(Team!$B$5:$B$10,MATCH(F237,Team!$A$5:$A$10,0)),"")))</f>
        <v/>
      </c>
      <c r="H237" s="26" t="n"/>
      <c r="I237" s="26" t="n"/>
      <c r="J237" s="27" t="n"/>
      <c r="K237" s="28" t="n"/>
      <c r="L237" s="23" t="n"/>
      <c r="M237" s="23" t="n"/>
      <c r="N237" s="27" t="n"/>
      <c r="O237" s="29" t="n"/>
      <c r="P237" s="27" t="n"/>
      <c r="Q237" s="27" t="n"/>
      <c r="R237" s="23">
        <f>IF(OR(I237="",J237="Done"),"",IF(I237&lt;TODAY(),"OVERDUE",""))</f>
        <v/>
      </c>
      <c r="S237" s="23" t="n"/>
    </row>
    <row r="238">
      <c r="A238" s="23" t="n"/>
      <c r="B238" s="23" t="n"/>
      <c r="C238" s="23" t="n"/>
      <c r="D238" s="23" t="n"/>
      <c r="E238" s="23" t="n"/>
      <c r="F238" s="23" t="n"/>
      <c r="G238" s="23">
        <f>IF(F238="","",IF(F238="All","Whole team",IFERROR(INDEX(Team!$B$5:$B$10,MATCH(F238,Team!$A$5:$A$10,0)),"")))</f>
        <v/>
      </c>
      <c r="H238" s="26" t="n"/>
      <c r="I238" s="26" t="n"/>
      <c r="J238" s="27" t="n"/>
      <c r="K238" s="28" t="n"/>
      <c r="L238" s="23" t="n"/>
      <c r="M238" s="23" t="n"/>
      <c r="N238" s="27" t="n"/>
      <c r="O238" s="29" t="n"/>
      <c r="P238" s="27" t="n"/>
      <c r="Q238" s="27" t="n"/>
      <c r="R238" s="23">
        <f>IF(OR(I238="",J238="Done"),"",IF(I238&lt;TODAY(),"OVERDUE",""))</f>
        <v/>
      </c>
      <c r="S238" s="23" t="n"/>
    </row>
    <row r="239">
      <c r="A239" s="23" t="n"/>
      <c r="B239" s="23" t="n"/>
      <c r="C239" s="23" t="n"/>
      <c r="D239" s="23" t="n"/>
      <c r="E239" s="23" t="n"/>
      <c r="F239" s="23" t="n"/>
      <c r="G239" s="23">
        <f>IF(F239="","",IF(F239="All","Whole team",IFERROR(INDEX(Team!$B$5:$B$10,MATCH(F239,Team!$A$5:$A$10,0)),"")))</f>
        <v/>
      </c>
      <c r="H239" s="26" t="n"/>
      <c r="I239" s="26" t="n"/>
      <c r="J239" s="27" t="n"/>
      <c r="K239" s="28" t="n"/>
      <c r="L239" s="23" t="n"/>
      <c r="M239" s="23" t="n"/>
      <c r="N239" s="27" t="n"/>
      <c r="O239" s="29" t="n"/>
      <c r="P239" s="27" t="n"/>
      <c r="Q239" s="27" t="n"/>
      <c r="R239" s="23">
        <f>IF(OR(I239="",J239="Done"),"",IF(I239&lt;TODAY(),"OVERDUE",""))</f>
        <v/>
      </c>
      <c r="S239" s="23" t="n"/>
    </row>
    <row r="240">
      <c r="A240" s="23" t="n"/>
      <c r="B240" s="23" t="n"/>
      <c r="C240" s="23" t="n"/>
      <c r="D240" s="23" t="n"/>
      <c r="E240" s="23" t="n"/>
      <c r="F240" s="23" t="n"/>
      <c r="G240" s="23">
        <f>IF(F240="","",IF(F240="All","Whole team",IFERROR(INDEX(Team!$B$5:$B$10,MATCH(F240,Team!$A$5:$A$10,0)),"")))</f>
        <v/>
      </c>
      <c r="H240" s="26" t="n"/>
      <c r="I240" s="26" t="n"/>
      <c r="J240" s="27" t="n"/>
      <c r="K240" s="28" t="n"/>
      <c r="L240" s="23" t="n"/>
      <c r="M240" s="23" t="n"/>
      <c r="N240" s="27" t="n"/>
      <c r="O240" s="29" t="n"/>
      <c r="P240" s="27" t="n"/>
      <c r="Q240" s="27" t="n"/>
      <c r="R240" s="23">
        <f>IF(OR(I240="",J240="Done"),"",IF(I240&lt;TODAY(),"OVERDUE",""))</f>
        <v/>
      </c>
      <c r="S240" s="23" t="n"/>
    </row>
    <row r="241">
      <c r="A241" s="23" t="n"/>
      <c r="B241" s="23" t="n"/>
      <c r="C241" s="23" t="n"/>
      <c r="D241" s="23" t="n"/>
      <c r="E241" s="23" t="n"/>
      <c r="F241" s="23" t="n"/>
      <c r="G241" s="23">
        <f>IF(F241="","",IF(F241="All","Whole team",IFERROR(INDEX(Team!$B$5:$B$10,MATCH(F241,Team!$A$5:$A$10,0)),"")))</f>
        <v/>
      </c>
      <c r="H241" s="26" t="n"/>
      <c r="I241" s="26" t="n"/>
      <c r="J241" s="27" t="n"/>
      <c r="K241" s="28" t="n"/>
      <c r="L241" s="23" t="n"/>
      <c r="M241" s="23" t="n"/>
      <c r="N241" s="27" t="n"/>
      <c r="O241" s="29" t="n"/>
      <c r="P241" s="27" t="n"/>
      <c r="Q241" s="27" t="n"/>
      <c r="R241" s="23">
        <f>IF(OR(I241="",J241="Done"),"",IF(I241&lt;TODAY(),"OVERDUE",""))</f>
        <v/>
      </c>
      <c r="S241" s="23" t="n"/>
    </row>
    <row r="242">
      <c r="A242" s="23" t="n"/>
      <c r="B242" s="23" t="n"/>
      <c r="C242" s="23" t="n"/>
      <c r="D242" s="23" t="n"/>
      <c r="E242" s="23" t="n"/>
      <c r="F242" s="23" t="n"/>
      <c r="G242" s="23">
        <f>IF(F242="","",IF(F242="All","Whole team",IFERROR(INDEX(Team!$B$5:$B$10,MATCH(F242,Team!$A$5:$A$10,0)),"")))</f>
        <v/>
      </c>
      <c r="H242" s="26" t="n"/>
      <c r="I242" s="26" t="n"/>
      <c r="J242" s="27" t="n"/>
      <c r="K242" s="28" t="n"/>
      <c r="L242" s="23" t="n"/>
      <c r="M242" s="23" t="n"/>
      <c r="N242" s="27" t="n"/>
      <c r="O242" s="29" t="n"/>
      <c r="P242" s="27" t="n"/>
      <c r="Q242" s="27" t="n"/>
      <c r="R242" s="23">
        <f>IF(OR(I242="",J242="Done"),"",IF(I242&lt;TODAY(),"OVERDUE",""))</f>
        <v/>
      </c>
      <c r="S242" s="23" t="n"/>
    </row>
    <row r="243">
      <c r="A243" s="23" t="n"/>
      <c r="B243" s="23" t="n"/>
      <c r="C243" s="23" t="n"/>
      <c r="D243" s="23" t="n"/>
      <c r="E243" s="23" t="n"/>
      <c r="F243" s="23" t="n"/>
      <c r="G243" s="23">
        <f>IF(F243="","",IF(F243="All","Whole team",IFERROR(INDEX(Team!$B$5:$B$10,MATCH(F243,Team!$A$5:$A$10,0)),"")))</f>
        <v/>
      </c>
      <c r="H243" s="26" t="n"/>
      <c r="I243" s="26" t="n"/>
      <c r="J243" s="27" t="n"/>
      <c r="K243" s="28" t="n"/>
      <c r="L243" s="23" t="n"/>
      <c r="M243" s="23" t="n"/>
      <c r="N243" s="27" t="n"/>
      <c r="O243" s="29" t="n"/>
      <c r="P243" s="27" t="n"/>
      <c r="Q243" s="27" t="n"/>
      <c r="R243" s="23">
        <f>IF(OR(I243="",J243="Done"),"",IF(I243&lt;TODAY(),"OVERDUE",""))</f>
        <v/>
      </c>
      <c r="S243" s="23" t="n"/>
    </row>
    <row r="244">
      <c r="A244" s="23" t="n"/>
      <c r="B244" s="23" t="n"/>
      <c r="C244" s="23" t="n"/>
      <c r="D244" s="23" t="n"/>
      <c r="E244" s="23" t="n"/>
      <c r="F244" s="23" t="n"/>
      <c r="G244" s="23">
        <f>IF(F244="","",IF(F244="All","Whole team",IFERROR(INDEX(Team!$B$5:$B$10,MATCH(F244,Team!$A$5:$A$10,0)),"")))</f>
        <v/>
      </c>
      <c r="H244" s="26" t="n"/>
      <c r="I244" s="26" t="n"/>
      <c r="J244" s="27" t="n"/>
      <c r="K244" s="28" t="n"/>
      <c r="L244" s="23" t="n"/>
      <c r="M244" s="23" t="n"/>
      <c r="N244" s="27" t="n"/>
      <c r="O244" s="29" t="n"/>
      <c r="P244" s="27" t="n"/>
      <c r="Q244" s="27" t="n"/>
      <c r="R244" s="23">
        <f>IF(OR(I244="",J244="Done"),"",IF(I244&lt;TODAY(),"OVERDUE",""))</f>
        <v/>
      </c>
      <c r="S244" s="23" t="n"/>
    </row>
    <row r="245">
      <c r="A245" s="23" t="n"/>
      <c r="B245" s="23" t="n"/>
      <c r="C245" s="23" t="n"/>
      <c r="D245" s="23" t="n"/>
      <c r="E245" s="23" t="n"/>
      <c r="F245" s="23" t="n"/>
      <c r="G245" s="23">
        <f>IF(F245="","",IF(F245="All","Whole team",IFERROR(INDEX(Team!$B$5:$B$10,MATCH(F245,Team!$A$5:$A$10,0)),"")))</f>
        <v/>
      </c>
      <c r="H245" s="26" t="n"/>
      <c r="I245" s="26" t="n"/>
      <c r="J245" s="27" t="n"/>
      <c r="K245" s="28" t="n"/>
      <c r="L245" s="23" t="n"/>
      <c r="M245" s="23" t="n"/>
      <c r="N245" s="27" t="n"/>
      <c r="O245" s="29" t="n"/>
      <c r="P245" s="27" t="n"/>
      <c r="Q245" s="27" t="n"/>
      <c r="R245" s="23">
        <f>IF(OR(I245="",J245="Done"),"",IF(I245&lt;TODAY(),"OVERDUE",""))</f>
        <v/>
      </c>
      <c r="S245" s="23" t="n"/>
    </row>
    <row r="246">
      <c r="A246" s="23" t="n"/>
      <c r="B246" s="23" t="n"/>
      <c r="C246" s="23" t="n"/>
      <c r="D246" s="23" t="n"/>
      <c r="E246" s="23" t="n"/>
      <c r="F246" s="23" t="n"/>
      <c r="G246" s="23">
        <f>IF(F246="","",IF(F246="All","Whole team",IFERROR(INDEX(Team!$B$5:$B$10,MATCH(F246,Team!$A$5:$A$10,0)),"")))</f>
        <v/>
      </c>
      <c r="H246" s="26" t="n"/>
      <c r="I246" s="26" t="n"/>
      <c r="J246" s="27" t="n"/>
      <c r="K246" s="28" t="n"/>
      <c r="L246" s="23" t="n"/>
      <c r="M246" s="23" t="n"/>
      <c r="N246" s="27" t="n"/>
      <c r="O246" s="29" t="n"/>
      <c r="P246" s="27" t="n"/>
      <c r="Q246" s="27" t="n"/>
      <c r="R246" s="23">
        <f>IF(OR(I246="",J246="Done"),"",IF(I246&lt;TODAY(),"OVERDUE",""))</f>
        <v/>
      </c>
      <c r="S246" s="23" t="n"/>
    </row>
    <row r="247">
      <c r="A247" s="23" t="n"/>
      <c r="B247" s="23" t="n"/>
      <c r="C247" s="23" t="n"/>
      <c r="D247" s="23" t="n"/>
      <c r="E247" s="23" t="n"/>
      <c r="F247" s="23" t="n"/>
      <c r="G247" s="23">
        <f>IF(F247="","",IF(F247="All","Whole team",IFERROR(INDEX(Team!$B$5:$B$10,MATCH(F247,Team!$A$5:$A$10,0)),"")))</f>
        <v/>
      </c>
      <c r="H247" s="26" t="n"/>
      <c r="I247" s="26" t="n"/>
      <c r="J247" s="27" t="n"/>
      <c r="K247" s="28" t="n"/>
      <c r="L247" s="23" t="n"/>
      <c r="M247" s="23" t="n"/>
      <c r="N247" s="27" t="n"/>
      <c r="O247" s="29" t="n"/>
      <c r="P247" s="27" t="n"/>
      <c r="Q247" s="27" t="n"/>
      <c r="R247" s="23">
        <f>IF(OR(I247="",J247="Done"),"",IF(I247&lt;TODAY(),"OVERDUE",""))</f>
        <v/>
      </c>
      <c r="S247" s="23" t="n"/>
    </row>
    <row r="248">
      <c r="A248" s="23" t="n"/>
      <c r="B248" s="23" t="n"/>
      <c r="C248" s="23" t="n"/>
      <c r="D248" s="23" t="n"/>
      <c r="E248" s="23" t="n"/>
      <c r="F248" s="23" t="n"/>
      <c r="G248" s="23">
        <f>IF(F248="","",IF(F248="All","Whole team",IFERROR(INDEX(Team!$B$5:$B$10,MATCH(F248,Team!$A$5:$A$10,0)),"")))</f>
        <v/>
      </c>
      <c r="H248" s="26" t="n"/>
      <c r="I248" s="26" t="n"/>
      <c r="J248" s="27" t="n"/>
      <c r="K248" s="28" t="n"/>
      <c r="L248" s="23" t="n"/>
      <c r="M248" s="23" t="n"/>
      <c r="N248" s="27" t="n"/>
      <c r="O248" s="29" t="n"/>
      <c r="P248" s="27" t="n"/>
      <c r="Q248" s="27" t="n"/>
      <c r="R248" s="23">
        <f>IF(OR(I248="",J248="Done"),"",IF(I248&lt;TODAY(),"OVERDUE",""))</f>
        <v/>
      </c>
      <c r="S248" s="23" t="n"/>
    </row>
    <row r="249">
      <c r="A249" s="23" t="n"/>
      <c r="B249" s="23" t="n"/>
      <c r="C249" s="23" t="n"/>
      <c r="D249" s="23" t="n"/>
      <c r="E249" s="23" t="n"/>
      <c r="F249" s="23" t="n"/>
      <c r="G249" s="23">
        <f>IF(F249="","",IF(F249="All","Whole team",IFERROR(INDEX(Team!$B$5:$B$10,MATCH(F249,Team!$A$5:$A$10,0)),"")))</f>
        <v/>
      </c>
      <c r="H249" s="26" t="n"/>
      <c r="I249" s="26" t="n"/>
      <c r="J249" s="27" t="n"/>
      <c r="K249" s="28" t="n"/>
      <c r="L249" s="23" t="n"/>
      <c r="M249" s="23" t="n"/>
      <c r="N249" s="27" t="n"/>
      <c r="O249" s="29" t="n"/>
      <c r="P249" s="27" t="n"/>
      <c r="Q249" s="27" t="n"/>
      <c r="R249" s="23">
        <f>IF(OR(I249="",J249="Done"),"",IF(I249&lt;TODAY(),"OVERDUE",""))</f>
        <v/>
      </c>
      <c r="S249" s="23" t="n"/>
    </row>
    <row r="250">
      <c r="A250" s="23" t="n"/>
      <c r="B250" s="23" t="n"/>
      <c r="C250" s="23" t="n"/>
      <c r="D250" s="23" t="n"/>
      <c r="E250" s="23" t="n"/>
      <c r="F250" s="23" t="n"/>
      <c r="G250" s="23">
        <f>IF(F250="","",IF(F250="All","Whole team",IFERROR(INDEX(Team!$B$5:$B$10,MATCH(F250,Team!$A$5:$A$10,0)),"")))</f>
        <v/>
      </c>
      <c r="H250" s="26" t="n"/>
      <c r="I250" s="26" t="n"/>
      <c r="J250" s="27" t="n"/>
      <c r="K250" s="28" t="n"/>
      <c r="L250" s="23" t="n"/>
      <c r="M250" s="23" t="n"/>
      <c r="N250" s="27" t="n"/>
      <c r="O250" s="29" t="n"/>
      <c r="P250" s="27" t="n"/>
      <c r="Q250" s="27" t="n"/>
      <c r="R250" s="23">
        <f>IF(OR(I250="",J250="Done"),"",IF(I250&lt;TODAY(),"OVERDUE",""))</f>
        <v/>
      </c>
      <c r="S250" s="23" t="n"/>
    </row>
    <row r="251">
      <c r="A251" s="23" t="n"/>
      <c r="B251" s="23" t="n"/>
      <c r="C251" s="23" t="n"/>
      <c r="D251" s="23" t="n"/>
      <c r="E251" s="23" t="n"/>
      <c r="F251" s="23" t="n"/>
      <c r="G251" s="23">
        <f>IF(F251="","",IF(F251="All","Whole team",IFERROR(INDEX(Team!$B$5:$B$10,MATCH(F251,Team!$A$5:$A$10,0)),"")))</f>
        <v/>
      </c>
      <c r="H251" s="26" t="n"/>
      <c r="I251" s="26" t="n"/>
      <c r="J251" s="27" t="n"/>
      <c r="K251" s="28" t="n"/>
      <c r="L251" s="23" t="n"/>
      <c r="M251" s="23" t="n"/>
      <c r="N251" s="27" t="n"/>
      <c r="O251" s="29" t="n"/>
      <c r="P251" s="27" t="n"/>
      <c r="Q251" s="27" t="n"/>
      <c r="R251" s="23">
        <f>IF(OR(I251="",J251="Done"),"",IF(I251&lt;TODAY(),"OVERDUE",""))</f>
        <v/>
      </c>
      <c r="S251" s="23" t="n"/>
    </row>
    <row r="252">
      <c r="A252" s="23" t="n"/>
      <c r="B252" s="23" t="n"/>
      <c r="C252" s="23" t="n"/>
      <c r="D252" s="23" t="n"/>
      <c r="E252" s="23" t="n"/>
      <c r="F252" s="23" t="n"/>
      <c r="G252" s="23">
        <f>IF(F252="","",IF(F252="All","Whole team",IFERROR(INDEX(Team!$B$5:$B$10,MATCH(F252,Team!$A$5:$A$10,0)),"")))</f>
        <v/>
      </c>
      <c r="H252" s="26" t="n"/>
      <c r="I252" s="26" t="n"/>
      <c r="J252" s="27" t="n"/>
      <c r="K252" s="28" t="n"/>
      <c r="L252" s="23" t="n"/>
      <c r="M252" s="23" t="n"/>
      <c r="N252" s="27" t="n"/>
      <c r="O252" s="29" t="n"/>
      <c r="P252" s="27" t="n"/>
      <c r="Q252" s="27" t="n"/>
      <c r="R252" s="23">
        <f>IF(OR(I252="",J252="Done"),"",IF(I252&lt;TODAY(),"OVERDUE",""))</f>
        <v/>
      </c>
      <c r="S252" s="23" t="n"/>
    </row>
    <row r="253">
      <c r="A253" s="23" t="n"/>
      <c r="B253" s="23" t="n"/>
      <c r="C253" s="23" t="n"/>
      <c r="D253" s="23" t="n"/>
      <c r="E253" s="23" t="n"/>
      <c r="F253" s="23" t="n"/>
      <c r="G253" s="23">
        <f>IF(F253="","",IF(F253="All","Whole team",IFERROR(INDEX(Team!$B$5:$B$10,MATCH(F253,Team!$A$5:$A$10,0)),"")))</f>
        <v/>
      </c>
      <c r="H253" s="26" t="n"/>
      <c r="I253" s="26" t="n"/>
      <c r="J253" s="27" t="n"/>
      <c r="K253" s="28" t="n"/>
      <c r="L253" s="23" t="n"/>
      <c r="M253" s="23" t="n"/>
      <c r="N253" s="27" t="n"/>
      <c r="O253" s="29" t="n"/>
      <c r="P253" s="27" t="n"/>
      <c r="Q253" s="27" t="n"/>
      <c r="R253" s="23">
        <f>IF(OR(I253="",J253="Done"),"",IF(I253&lt;TODAY(),"OVERDUE",""))</f>
        <v/>
      </c>
      <c r="S253" s="23" t="n"/>
    </row>
    <row r="254">
      <c r="A254" s="23" t="n"/>
      <c r="B254" s="23" t="n"/>
      <c r="C254" s="23" t="n"/>
      <c r="D254" s="23" t="n"/>
      <c r="E254" s="23" t="n"/>
      <c r="F254" s="23" t="n"/>
      <c r="G254" s="23">
        <f>IF(F254="","",IF(F254="All","Whole team",IFERROR(INDEX(Team!$B$5:$B$10,MATCH(F254,Team!$A$5:$A$10,0)),"")))</f>
        <v/>
      </c>
      <c r="H254" s="26" t="n"/>
      <c r="I254" s="26" t="n"/>
      <c r="J254" s="27" t="n"/>
      <c r="K254" s="28" t="n"/>
      <c r="L254" s="23" t="n"/>
      <c r="M254" s="23" t="n"/>
      <c r="N254" s="27" t="n"/>
      <c r="O254" s="29" t="n"/>
      <c r="P254" s="27" t="n"/>
      <c r="Q254" s="27" t="n"/>
      <c r="R254" s="23">
        <f>IF(OR(I254="",J254="Done"),"",IF(I254&lt;TODAY(),"OVERDUE",""))</f>
        <v/>
      </c>
      <c r="S254" s="23" t="n"/>
    </row>
    <row r="255">
      <c r="A255" s="23" t="n"/>
      <c r="B255" s="23" t="n"/>
      <c r="C255" s="23" t="n"/>
      <c r="D255" s="23" t="n"/>
      <c r="E255" s="23" t="n"/>
      <c r="F255" s="23" t="n"/>
      <c r="G255" s="23">
        <f>IF(F255="","",IF(F255="All","Whole team",IFERROR(INDEX(Team!$B$5:$B$10,MATCH(F255,Team!$A$5:$A$10,0)),"")))</f>
        <v/>
      </c>
      <c r="H255" s="26" t="n"/>
      <c r="I255" s="26" t="n"/>
      <c r="J255" s="27" t="n"/>
      <c r="K255" s="28" t="n"/>
      <c r="L255" s="23" t="n"/>
      <c r="M255" s="23" t="n"/>
      <c r="N255" s="27" t="n"/>
      <c r="O255" s="29" t="n"/>
      <c r="P255" s="27" t="n"/>
      <c r="Q255" s="27" t="n"/>
      <c r="R255" s="23">
        <f>IF(OR(I255="",J255="Done"),"",IF(I255&lt;TODAY(),"OVERDUE",""))</f>
        <v/>
      </c>
      <c r="S255" s="23" t="n"/>
    </row>
    <row r="256">
      <c r="A256" s="23" t="n"/>
      <c r="B256" s="23" t="n"/>
      <c r="C256" s="23" t="n"/>
      <c r="D256" s="23" t="n"/>
      <c r="E256" s="23" t="n"/>
      <c r="F256" s="23" t="n"/>
      <c r="G256" s="23">
        <f>IF(F256="","",IF(F256="All","Whole team",IFERROR(INDEX(Team!$B$5:$B$10,MATCH(F256,Team!$A$5:$A$10,0)),"")))</f>
        <v/>
      </c>
      <c r="H256" s="26" t="n"/>
      <c r="I256" s="26" t="n"/>
      <c r="J256" s="27" t="n"/>
      <c r="K256" s="28" t="n"/>
      <c r="L256" s="23" t="n"/>
      <c r="M256" s="23" t="n"/>
      <c r="N256" s="27" t="n"/>
      <c r="O256" s="29" t="n"/>
      <c r="P256" s="27" t="n"/>
      <c r="Q256" s="27" t="n"/>
      <c r="R256" s="23">
        <f>IF(OR(I256="",J256="Done"),"",IF(I256&lt;TODAY(),"OVERDUE",""))</f>
        <v/>
      </c>
      <c r="S256" s="23" t="n"/>
    </row>
    <row r="257">
      <c r="A257" s="23" t="n"/>
      <c r="B257" s="23" t="n"/>
      <c r="C257" s="23" t="n"/>
      <c r="D257" s="23" t="n"/>
      <c r="E257" s="23" t="n"/>
      <c r="F257" s="23" t="n"/>
      <c r="G257" s="23">
        <f>IF(F257="","",IF(F257="All","Whole team",IFERROR(INDEX(Team!$B$5:$B$10,MATCH(F257,Team!$A$5:$A$10,0)),"")))</f>
        <v/>
      </c>
      <c r="H257" s="26" t="n"/>
      <c r="I257" s="26" t="n"/>
      <c r="J257" s="27" t="n"/>
      <c r="K257" s="28" t="n"/>
      <c r="L257" s="23" t="n"/>
      <c r="M257" s="23" t="n"/>
      <c r="N257" s="27" t="n"/>
      <c r="O257" s="29" t="n"/>
      <c r="P257" s="27" t="n"/>
      <c r="Q257" s="27" t="n"/>
      <c r="R257" s="23">
        <f>IF(OR(I257="",J257="Done"),"",IF(I257&lt;TODAY(),"OVERDUE",""))</f>
        <v/>
      </c>
      <c r="S257" s="23" t="n"/>
    </row>
    <row r="258">
      <c r="A258" s="23" t="n"/>
      <c r="B258" s="23" t="n"/>
      <c r="C258" s="23" t="n"/>
      <c r="D258" s="23" t="n"/>
      <c r="E258" s="23" t="n"/>
      <c r="F258" s="23" t="n"/>
      <c r="G258" s="23">
        <f>IF(F258="","",IF(F258="All","Whole team",IFERROR(INDEX(Team!$B$5:$B$10,MATCH(F258,Team!$A$5:$A$10,0)),"")))</f>
        <v/>
      </c>
      <c r="H258" s="26" t="n"/>
      <c r="I258" s="26" t="n"/>
      <c r="J258" s="27" t="n"/>
      <c r="K258" s="28" t="n"/>
      <c r="L258" s="23" t="n"/>
      <c r="M258" s="23" t="n"/>
      <c r="N258" s="27" t="n"/>
      <c r="O258" s="29" t="n"/>
      <c r="P258" s="27" t="n"/>
      <c r="Q258" s="27" t="n"/>
      <c r="R258" s="23">
        <f>IF(OR(I258="",J258="Done"),"",IF(I258&lt;TODAY(),"OVERDUE",""))</f>
        <v/>
      </c>
      <c r="S258" s="23" t="n"/>
    </row>
    <row r="259">
      <c r="A259" s="23" t="n"/>
      <c r="B259" s="23" t="n"/>
      <c r="C259" s="23" t="n"/>
      <c r="D259" s="23" t="n"/>
      <c r="E259" s="23" t="n"/>
      <c r="F259" s="23" t="n"/>
      <c r="G259" s="23">
        <f>IF(F259="","",IF(F259="All","Whole team",IFERROR(INDEX(Team!$B$5:$B$10,MATCH(F259,Team!$A$5:$A$10,0)),"")))</f>
        <v/>
      </c>
      <c r="H259" s="26" t="n"/>
      <c r="I259" s="26" t="n"/>
      <c r="J259" s="27" t="n"/>
      <c r="K259" s="28" t="n"/>
      <c r="L259" s="23" t="n"/>
      <c r="M259" s="23" t="n"/>
      <c r="N259" s="27" t="n"/>
      <c r="O259" s="29" t="n"/>
      <c r="P259" s="27" t="n"/>
      <c r="Q259" s="27" t="n"/>
      <c r="R259" s="23">
        <f>IF(OR(I259="",J259="Done"),"",IF(I259&lt;TODAY(),"OVERDUE",""))</f>
        <v/>
      </c>
      <c r="S259" s="23" t="n"/>
    </row>
    <row r="260">
      <c r="A260" s="23" t="n"/>
      <c r="B260" s="23" t="n"/>
      <c r="C260" s="23" t="n"/>
      <c r="D260" s="23" t="n"/>
      <c r="E260" s="23" t="n"/>
      <c r="F260" s="23" t="n"/>
      <c r="G260" s="23">
        <f>IF(F260="","",IF(F260="All","Whole team",IFERROR(INDEX(Team!$B$5:$B$10,MATCH(F260,Team!$A$5:$A$10,0)),"")))</f>
        <v/>
      </c>
      <c r="H260" s="26" t="n"/>
      <c r="I260" s="26" t="n"/>
      <c r="J260" s="27" t="n"/>
      <c r="K260" s="28" t="n"/>
      <c r="L260" s="23" t="n"/>
      <c r="M260" s="23" t="n"/>
      <c r="N260" s="27" t="n"/>
      <c r="O260" s="29" t="n"/>
      <c r="P260" s="27" t="n"/>
      <c r="Q260" s="27" t="n"/>
      <c r="R260" s="23">
        <f>IF(OR(I260="",J260="Done"),"",IF(I260&lt;TODAY(),"OVERDUE",""))</f>
        <v/>
      </c>
      <c r="S260" s="23" t="n"/>
    </row>
    <row r="261">
      <c r="A261" s="23" t="n"/>
      <c r="B261" s="23" t="n"/>
      <c r="C261" s="23" t="n"/>
      <c r="D261" s="23" t="n"/>
      <c r="E261" s="23" t="n"/>
      <c r="F261" s="23" t="n"/>
      <c r="G261" s="23">
        <f>IF(F261="","",IF(F261="All","Whole team",IFERROR(INDEX(Team!$B$5:$B$10,MATCH(F261,Team!$A$5:$A$10,0)),"")))</f>
        <v/>
      </c>
      <c r="H261" s="26" t="n"/>
      <c r="I261" s="26" t="n"/>
      <c r="J261" s="27" t="n"/>
      <c r="K261" s="28" t="n"/>
      <c r="L261" s="23" t="n"/>
      <c r="M261" s="23" t="n"/>
      <c r="N261" s="27" t="n"/>
      <c r="O261" s="29" t="n"/>
      <c r="P261" s="27" t="n"/>
      <c r="Q261" s="27" t="n"/>
      <c r="R261" s="23">
        <f>IF(OR(I261="",J261="Done"),"",IF(I261&lt;TODAY(),"OVERDUE",""))</f>
        <v/>
      </c>
      <c r="S261" s="23" t="n"/>
    </row>
    <row r="262">
      <c r="A262" s="23" t="n"/>
      <c r="B262" s="23" t="n"/>
      <c r="C262" s="23" t="n"/>
      <c r="D262" s="23" t="n"/>
      <c r="E262" s="23" t="n"/>
      <c r="F262" s="23" t="n"/>
      <c r="G262" s="23">
        <f>IF(F262="","",IF(F262="All","Whole team",IFERROR(INDEX(Team!$B$5:$B$10,MATCH(F262,Team!$A$5:$A$10,0)),"")))</f>
        <v/>
      </c>
      <c r="H262" s="26" t="n"/>
      <c r="I262" s="26" t="n"/>
      <c r="J262" s="27" t="n"/>
      <c r="K262" s="28" t="n"/>
      <c r="L262" s="23" t="n"/>
      <c r="M262" s="23" t="n"/>
      <c r="N262" s="27" t="n"/>
      <c r="O262" s="29" t="n"/>
      <c r="P262" s="27" t="n"/>
      <c r="Q262" s="27" t="n"/>
      <c r="R262" s="23">
        <f>IF(OR(I262="",J262="Done"),"",IF(I262&lt;TODAY(),"OVERDUE",""))</f>
        <v/>
      </c>
      <c r="S262" s="23" t="n"/>
    </row>
    <row r="263">
      <c r="A263" s="23" t="n"/>
      <c r="B263" s="23" t="n"/>
      <c r="C263" s="23" t="n"/>
      <c r="D263" s="23" t="n"/>
      <c r="E263" s="23" t="n"/>
      <c r="F263" s="23" t="n"/>
      <c r="G263" s="23">
        <f>IF(F263="","",IF(F263="All","Whole team",IFERROR(INDEX(Team!$B$5:$B$10,MATCH(F263,Team!$A$5:$A$10,0)),"")))</f>
        <v/>
      </c>
      <c r="H263" s="26" t="n"/>
      <c r="I263" s="26" t="n"/>
      <c r="J263" s="27" t="n"/>
      <c r="K263" s="28" t="n"/>
      <c r="L263" s="23" t="n"/>
      <c r="M263" s="23" t="n"/>
      <c r="N263" s="27" t="n"/>
      <c r="O263" s="29" t="n"/>
      <c r="P263" s="27" t="n"/>
      <c r="Q263" s="27" t="n"/>
      <c r="R263" s="23">
        <f>IF(OR(I263="",J263="Done"),"",IF(I263&lt;TODAY(),"OVERDUE",""))</f>
        <v/>
      </c>
      <c r="S263" s="23" t="n"/>
    </row>
    <row r="264">
      <c r="A264" s="23" t="n"/>
      <c r="B264" s="23" t="n"/>
      <c r="C264" s="23" t="n"/>
      <c r="D264" s="23" t="n"/>
      <c r="E264" s="23" t="n"/>
      <c r="F264" s="23" t="n"/>
      <c r="G264" s="23">
        <f>IF(F264="","",IF(F264="All","Whole team",IFERROR(INDEX(Team!$B$5:$B$10,MATCH(F264,Team!$A$5:$A$10,0)),"")))</f>
        <v/>
      </c>
      <c r="H264" s="26" t="n"/>
      <c r="I264" s="26" t="n"/>
      <c r="J264" s="27" t="n"/>
      <c r="K264" s="28" t="n"/>
      <c r="L264" s="23" t="n"/>
      <c r="M264" s="23" t="n"/>
      <c r="N264" s="27" t="n"/>
      <c r="O264" s="29" t="n"/>
      <c r="P264" s="27" t="n"/>
      <c r="Q264" s="27" t="n"/>
      <c r="R264" s="23">
        <f>IF(OR(I264="",J264="Done"),"",IF(I264&lt;TODAY(),"OVERDUE",""))</f>
        <v/>
      </c>
      <c r="S264" s="23" t="n"/>
    </row>
    <row r="265">
      <c r="A265" s="23" t="n"/>
      <c r="B265" s="23" t="n"/>
      <c r="C265" s="23" t="n"/>
      <c r="D265" s="23" t="n"/>
      <c r="E265" s="23" t="n"/>
      <c r="F265" s="23" t="n"/>
      <c r="G265" s="23">
        <f>IF(F265="","",IF(F265="All","Whole team",IFERROR(INDEX(Team!$B$5:$B$10,MATCH(F265,Team!$A$5:$A$10,0)),"")))</f>
        <v/>
      </c>
      <c r="H265" s="26" t="n"/>
      <c r="I265" s="26" t="n"/>
      <c r="J265" s="27" t="n"/>
      <c r="K265" s="28" t="n"/>
      <c r="L265" s="23" t="n"/>
      <c r="M265" s="23" t="n"/>
      <c r="N265" s="27" t="n"/>
      <c r="O265" s="29" t="n"/>
      <c r="P265" s="27" t="n"/>
      <c r="Q265" s="27" t="n"/>
      <c r="R265" s="23">
        <f>IF(OR(I265="",J265="Done"),"",IF(I265&lt;TODAY(),"OVERDUE",""))</f>
        <v/>
      </c>
      <c r="S265" s="23" t="n"/>
    </row>
    <row r="266">
      <c r="A266" s="23" t="n"/>
      <c r="B266" s="23" t="n"/>
      <c r="C266" s="23" t="n"/>
      <c r="D266" s="23" t="n"/>
      <c r="E266" s="23" t="n"/>
      <c r="F266" s="23" t="n"/>
      <c r="G266" s="23">
        <f>IF(F266="","",IF(F266="All","Whole team",IFERROR(INDEX(Team!$B$5:$B$10,MATCH(F266,Team!$A$5:$A$10,0)),"")))</f>
        <v/>
      </c>
      <c r="H266" s="26" t="n"/>
      <c r="I266" s="26" t="n"/>
      <c r="J266" s="27" t="n"/>
      <c r="K266" s="28" t="n"/>
      <c r="L266" s="23" t="n"/>
      <c r="M266" s="23" t="n"/>
      <c r="N266" s="27" t="n"/>
      <c r="O266" s="29" t="n"/>
      <c r="P266" s="27" t="n"/>
      <c r="Q266" s="27" t="n"/>
      <c r="R266" s="23">
        <f>IF(OR(I266="",J266="Done"),"",IF(I266&lt;TODAY(),"OVERDUE",""))</f>
        <v/>
      </c>
      <c r="S266" s="23" t="n"/>
    </row>
    <row r="267">
      <c r="A267" s="23" t="n"/>
      <c r="B267" s="23" t="n"/>
      <c r="C267" s="23" t="n"/>
      <c r="D267" s="23" t="n"/>
      <c r="E267" s="23" t="n"/>
      <c r="F267" s="23" t="n"/>
      <c r="G267" s="23">
        <f>IF(F267="","",IF(F267="All","Whole team",IFERROR(INDEX(Team!$B$5:$B$10,MATCH(F267,Team!$A$5:$A$10,0)),"")))</f>
        <v/>
      </c>
      <c r="H267" s="26" t="n"/>
      <c r="I267" s="26" t="n"/>
      <c r="J267" s="27" t="n"/>
      <c r="K267" s="28" t="n"/>
      <c r="L267" s="23" t="n"/>
      <c r="M267" s="23" t="n"/>
      <c r="N267" s="27" t="n"/>
      <c r="O267" s="29" t="n"/>
      <c r="P267" s="27" t="n"/>
      <c r="Q267" s="27" t="n"/>
      <c r="R267" s="23">
        <f>IF(OR(I267="",J267="Done"),"",IF(I267&lt;TODAY(),"OVERDUE",""))</f>
        <v/>
      </c>
      <c r="S267" s="23" t="n"/>
    </row>
    <row r="268">
      <c r="A268" s="23" t="n"/>
      <c r="B268" s="23" t="n"/>
      <c r="C268" s="23" t="n"/>
      <c r="D268" s="23" t="n"/>
      <c r="E268" s="23" t="n"/>
      <c r="F268" s="23" t="n"/>
      <c r="G268" s="23">
        <f>IF(F268="","",IF(F268="All","Whole team",IFERROR(INDEX(Team!$B$5:$B$10,MATCH(F268,Team!$A$5:$A$10,0)),"")))</f>
        <v/>
      </c>
      <c r="H268" s="26" t="n"/>
      <c r="I268" s="26" t="n"/>
      <c r="J268" s="27" t="n"/>
      <c r="K268" s="28" t="n"/>
      <c r="L268" s="23" t="n"/>
      <c r="M268" s="23" t="n"/>
      <c r="N268" s="27" t="n"/>
      <c r="O268" s="29" t="n"/>
      <c r="P268" s="27" t="n"/>
      <c r="Q268" s="27" t="n"/>
      <c r="R268" s="23">
        <f>IF(OR(I268="",J268="Done"),"",IF(I268&lt;TODAY(),"OVERDUE",""))</f>
        <v/>
      </c>
      <c r="S268" s="23" t="n"/>
    </row>
    <row r="269">
      <c r="A269" s="23" t="n"/>
      <c r="B269" s="23" t="n"/>
      <c r="C269" s="23" t="n"/>
      <c r="D269" s="23" t="n"/>
      <c r="E269" s="23" t="n"/>
      <c r="F269" s="23" t="n"/>
      <c r="G269" s="23">
        <f>IF(F269="","",IF(F269="All","Whole team",IFERROR(INDEX(Team!$B$5:$B$10,MATCH(F269,Team!$A$5:$A$10,0)),"")))</f>
        <v/>
      </c>
      <c r="H269" s="26" t="n"/>
      <c r="I269" s="26" t="n"/>
      <c r="J269" s="27" t="n"/>
      <c r="K269" s="28" t="n"/>
      <c r="L269" s="23" t="n"/>
      <c r="M269" s="23" t="n"/>
      <c r="N269" s="27" t="n"/>
      <c r="O269" s="29" t="n"/>
      <c r="P269" s="27" t="n"/>
      <c r="Q269" s="27" t="n"/>
      <c r="R269" s="23">
        <f>IF(OR(I269="",J269="Done"),"",IF(I269&lt;TODAY(),"OVERDUE",""))</f>
        <v/>
      </c>
      <c r="S269" s="23" t="n"/>
    </row>
    <row r="270">
      <c r="A270" s="23" t="n"/>
      <c r="B270" s="23" t="n"/>
      <c r="C270" s="23" t="n"/>
      <c r="D270" s="23" t="n"/>
      <c r="E270" s="23" t="n"/>
      <c r="F270" s="23" t="n"/>
      <c r="G270" s="23">
        <f>IF(F270="","",IF(F270="All","Whole team",IFERROR(INDEX(Team!$B$5:$B$10,MATCH(F270,Team!$A$5:$A$10,0)),"")))</f>
        <v/>
      </c>
      <c r="H270" s="26" t="n"/>
      <c r="I270" s="26" t="n"/>
      <c r="J270" s="27" t="n"/>
      <c r="K270" s="28" t="n"/>
      <c r="L270" s="23" t="n"/>
      <c r="M270" s="23" t="n"/>
      <c r="N270" s="27" t="n"/>
      <c r="O270" s="29" t="n"/>
      <c r="P270" s="27" t="n"/>
      <c r="Q270" s="27" t="n"/>
      <c r="R270" s="23">
        <f>IF(OR(I270="",J270="Done"),"",IF(I270&lt;TODAY(),"OVERDUE",""))</f>
        <v/>
      </c>
      <c r="S270" s="23" t="n"/>
    </row>
    <row r="271">
      <c r="A271" s="23" t="n"/>
      <c r="B271" s="23" t="n"/>
      <c r="C271" s="23" t="n"/>
      <c r="D271" s="23" t="n"/>
      <c r="E271" s="23" t="n"/>
      <c r="F271" s="23" t="n"/>
      <c r="G271" s="23">
        <f>IF(F271="","",IF(F271="All","Whole team",IFERROR(INDEX(Team!$B$5:$B$10,MATCH(F271,Team!$A$5:$A$10,0)),"")))</f>
        <v/>
      </c>
      <c r="H271" s="26" t="n"/>
      <c r="I271" s="26" t="n"/>
      <c r="J271" s="27" t="n"/>
      <c r="K271" s="28" t="n"/>
      <c r="L271" s="23" t="n"/>
      <c r="M271" s="23" t="n"/>
      <c r="N271" s="27" t="n"/>
      <c r="O271" s="29" t="n"/>
      <c r="P271" s="27" t="n"/>
      <c r="Q271" s="27" t="n"/>
      <c r="R271" s="23">
        <f>IF(OR(I271="",J271="Done"),"",IF(I271&lt;TODAY(),"OVERDUE",""))</f>
        <v/>
      </c>
      <c r="S271" s="23" t="n"/>
    </row>
    <row r="272">
      <c r="A272" s="23" t="n"/>
      <c r="B272" s="23" t="n"/>
      <c r="C272" s="23" t="n"/>
      <c r="D272" s="23" t="n"/>
      <c r="E272" s="23" t="n"/>
      <c r="F272" s="23" t="n"/>
      <c r="G272" s="23">
        <f>IF(F272="","",IF(F272="All","Whole team",IFERROR(INDEX(Team!$B$5:$B$10,MATCH(F272,Team!$A$5:$A$10,0)),"")))</f>
        <v/>
      </c>
      <c r="H272" s="26" t="n"/>
      <c r="I272" s="26" t="n"/>
      <c r="J272" s="27" t="n"/>
      <c r="K272" s="28" t="n"/>
      <c r="L272" s="23" t="n"/>
      <c r="M272" s="23" t="n"/>
      <c r="N272" s="27" t="n"/>
      <c r="O272" s="29" t="n"/>
      <c r="P272" s="27" t="n"/>
      <c r="Q272" s="27" t="n"/>
      <c r="R272" s="23">
        <f>IF(OR(I272="",J272="Done"),"",IF(I272&lt;TODAY(),"OVERDUE",""))</f>
        <v/>
      </c>
      <c r="S272" s="23" t="n"/>
    </row>
    <row r="273">
      <c r="A273" s="23" t="n"/>
      <c r="B273" s="23" t="n"/>
      <c r="C273" s="23" t="n"/>
      <c r="D273" s="23" t="n"/>
      <c r="E273" s="23" t="n"/>
      <c r="F273" s="23" t="n"/>
      <c r="G273" s="23">
        <f>IF(F273="","",IF(F273="All","Whole team",IFERROR(INDEX(Team!$B$5:$B$10,MATCH(F273,Team!$A$5:$A$10,0)),"")))</f>
        <v/>
      </c>
      <c r="H273" s="26" t="n"/>
      <c r="I273" s="26" t="n"/>
      <c r="J273" s="27" t="n"/>
      <c r="K273" s="28" t="n"/>
      <c r="L273" s="23" t="n"/>
      <c r="M273" s="23" t="n"/>
      <c r="N273" s="27" t="n"/>
      <c r="O273" s="29" t="n"/>
      <c r="P273" s="27" t="n"/>
      <c r="Q273" s="27" t="n"/>
      <c r="R273" s="23">
        <f>IF(OR(I273="",J273="Done"),"",IF(I273&lt;TODAY(),"OVERDUE",""))</f>
        <v/>
      </c>
      <c r="S273" s="23" t="n"/>
    </row>
    <row r="274">
      <c r="A274" s="23" t="n"/>
      <c r="B274" s="23" t="n"/>
      <c r="C274" s="23" t="n"/>
      <c r="D274" s="23" t="n"/>
      <c r="E274" s="23" t="n"/>
      <c r="F274" s="23" t="n"/>
      <c r="G274" s="23">
        <f>IF(F274="","",IF(F274="All","Whole team",IFERROR(INDEX(Team!$B$5:$B$10,MATCH(F274,Team!$A$5:$A$10,0)),"")))</f>
        <v/>
      </c>
      <c r="H274" s="26" t="n"/>
      <c r="I274" s="26" t="n"/>
      <c r="J274" s="27" t="n"/>
      <c r="K274" s="28" t="n"/>
      <c r="L274" s="23" t="n"/>
      <c r="M274" s="23" t="n"/>
      <c r="N274" s="27" t="n"/>
      <c r="O274" s="29" t="n"/>
      <c r="P274" s="27" t="n"/>
      <c r="Q274" s="27" t="n"/>
      <c r="R274" s="23">
        <f>IF(OR(I274="",J274="Done"),"",IF(I274&lt;TODAY(),"OVERDUE",""))</f>
        <v/>
      </c>
      <c r="S274" s="23" t="n"/>
    </row>
    <row r="275">
      <c r="A275" s="23" t="n"/>
      <c r="B275" s="23" t="n"/>
      <c r="C275" s="23" t="n"/>
      <c r="D275" s="23" t="n"/>
      <c r="E275" s="23" t="n"/>
      <c r="F275" s="23" t="n"/>
      <c r="G275" s="23">
        <f>IF(F275="","",IF(F275="All","Whole team",IFERROR(INDEX(Team!$B$5:$B$10,MATCH(F275,Team!$A$5:$A$10,0)),"")))</f>
        <v/>
      </c>
      <c r="H275" s="26" t="n"/>
      <c r="I275" s="26" t="n"/>
      <c r="J275" s="27" t="n"/>
      <c r="K275" s="28" t="n"/>
      <c r="L275" s="23" t="n"/>
      <c r="M275" s="23" t="n"/>
      <c r="N275" s="27" t="n"/>
      <c r="O275" s="29" t="n"/>
      <c r="P275" s="27" t="n"/>
      <c r="Q275" s="27" t="n"/>
      <c r="R275" s="23">
        <f>IF(OR(I275="",J275="Done"),"",IF(I275&lt;TODAY(),"OVERDUE",""))</f>
        <v/>
      </c>
      <c r="S275" s="23" t="n"/>
    </row>
    <row r="276">
      <c r="A276" s="23" t="n"/>
      <c r="B276" s="23" t="n"/>
      <c r="C276" s="23" t="n"/>
      <c r="D276" s="23" t="n"/>
      <c r="E276" s="23" t="n"/>
      <c r="F276" s="23" t="n"/>
      <c r="G276" s="23">
        <f>IF(F276="","",IF(F276="All","Whole team",IFERROR(INDEX(Team!$B$5:$B$10,MATCH(F276,Team!$A$5:$A$10,0)),"")))</f>
        <v/>
      </c>
      <c r="H276" s="26" t="n"/>
      <c r="I276" s="26" t="n"/>
      <c r="J276" s="27" t="n"/>
      <c r="K276" s="28" t="n"/>
      <c r="L276" s="23" t="n"/>
      <c r="M276" s="23" t="n"/>
      <c r="N276" s="27" t="n"/>
      <c r="O276" s="29" t="n"/>
      <c r="P276" s="27" t="n"/>
      <c r="Q276" s="27" t="n"/>
      <c r="R276" s="23">
        <f>IF(OR(I276="",J276="Done"),"",IF(I276&lt;TODAY(),"OVERDUE",""))</f>
        <v/>
      </c>
      <c r="S276" s="23" t="n"/>
    </row>
    <row r="277">
      <c r="A277" s="23" t="n"/>
      <c r="B277" s="23" t="n"/>
      <c r="C277" s="23" t="n"/>
      <c r="D277" s="23" t="n"/>
      <c r="E277" s="23" t="n"/>
      <c r="F277" s="23" t="n"/>
      <c r="G277" s="23">
        <f>IF(F277="","",IF(F277="All","Whole team",IFERROR(INDEX(Team!$B$5:$B$10,MATCH(F277,Team!$A$5:$A$10,0)),"")))</f>
        <v/>
      </c>
      <c r="H277" s="26" t="n"/>
      <c r="I277" s="26" t="n"/>
      <c r="J277" s="27" t="n"/>
      <c r="K277" s="28" t="n"/>
      <c r="L277" s="23" t="n"/>
      <c r="M277" s="23" t="n"/>
      <c r="N277" s="27" t="n"/>
      <c r="O277" s="29" t="n"/>
      <c r="P277" s="27" t="n"/>
      <c r="Q277" s="27" t="n"/>
      <c r="R277" s="23">
        <f>IF(OR(I277="",J277="Done"),"",IF(I277&lt;TODAY(),"OVERDUE",""))</f>
        <v/>
      </c>
      <c r="S277" s="23" t="n"/>
    </row>
    <row r="278">
      <c r="A278" s="23" t="n"/>
      <c r="B278" s="23" t="n"/>
      <c r="C278" s="23" t="n"/>
      <c r="D278" s="23" t="n"/>
      <c r="E278" s="23" t="n"/>
      <c r="F278" s="23" t="n"/>
      <c r="G278" s="23">
        <f>IF(F278="","",IF(F278="All","Whole team",IFERROR(INDEX(Team!$B$5:$B$10,MATCH(F278,Team!$A$5:$A$10,0)),"")))</f>
        <v/>
      </c>
      <c r="H278" s="26" t="n"/>
      <c r="I278" s="26" t="n"/>
      <c r="J278" s="27" t="n"/>
      <c r="K278" s="28" t="n"/>
      <c r="L278" s="23" t="n"/>
      <c r="M278" s="23" t="n"/>
      <c r="N278" s="27" t="n"/>
      <c r="O278" s="29" t="n"/>
      <c r="P278" s="27" t="n"/>
      <c r="Q278" s="27" t="n"/>
      <c r="R278" s="23">
        <f>IF(OR(I278="",J278="Done"),"",IF(I278&lt;TODAY(),"OVERDUE",""))</f>
        <v/>
      </c>
      <c r="S278" s="23" t="n"/>
    </row>
    <row r="279">
      <c r="A279" s="23" t="n"/>
      <c r="B279" s="23" t="n"/>
      <c r="C279" s="23" t="n"/>
      <c r="D279" s="23" t="n"/>
      <c r="E279" s="23" t="n"/>
      <c r="F279" s="23" t="n"/>
      <c r="G279" s="23">
        <f>IF(F279="","",IF(F279="All","Whole team",IFERROR(INDEX(Team!$B$5:$B$10,MATCH(F279,Team!$A$5:$A$10,0)),"")))</f>
        <v/>
      </c>
      <c r="H279" s="26" t="n"/>
      <c r="I279" s="26" t="n"/>
      <c r="J279" s="27" t="n"/>
      <c r="K279" s="28" t="n"/>
      <c r="L279" s="23" t="n"/>
      <c r="M279" s="23" t="n"/>
      <c r="N279" s="27" t="n"/>
      <c r="O279" s="29" t="n"/>
      <c r="P279" s="27" t="n"/>
      <c r="Q279" s="27" t="n"/>
      <c r="R279" s="23">
        <f>IF(OR(I279="",J279="Done"),"",IF(I279&lt;TODAY(),"OVERDUE",""))</f>
        <v/>
      </c>
      <c r="S279" s="23" t="n"/>
    </row>
    <row r="280">
      <c r="A280" s="23" t="n"/>
      <c r="B280" s="23" t="n"/>
      <c r="C280" s="23" t="n"/>
      <c r="D280" s="23" t="n"/>
      <c r="E280" s="23" t="n"/>
      <c r="F280" s="23" t="n"/>
      <c r="G280" s="23">
        <f>IF(F280="","",IF(F280="All","Whole team",IFERROR(INDEX(Team!$B$5:$B$10,MATCH(F280,Team!$A$5:$A$10,0)),"")))</f>
        <v/>
      </c>
      <c r="H280" s="26" t="n"/>
      <c r="I280" s="26" t="n"/>
      <c r="J280" s="27" t="n"/>
      <c r="K280" s="28" t="n"/>
      <c r="L280" s="23" t="n"/>
      <c r="M280" s="23" t="n"/>
      <c r="N280" s="27" t="n"/>
      <c r="O280" s="29" t="n"/>
      <c r="P280" s="27" t="n"/>
      <c r="Q280" s="27" t="n"/>
      <c r="R280" s="23">
        <f>IF(OR(I280="",J280="Done"),"",IF(I280&lt;TODAY(),"OVERDUE",""))</f>
        <v/>
      </c>
      <c r="S280" s="23" t="n"/>
    </row>
    <row r="281">
      <c r="A281" s="23" t="n"/>
      <c r="B281" s="23" t="n"/>
      <c r="C281" s="23" t="n"/>
      <c r="D281" s="23" t="n"/>
      <c r="E281" s="23" t="n"/>
      <c r="F281" s="23" t="n"/>
      <c r="G281" s="23">
        <f>IF(F281="","",IF(F281="All","Whole team",IFERROR(INDEX(Team!$B$5:$B$10,MATCH(F281,Team!$A$5:$A$10,0)),"")))</f>
        <v/>
      </c>
      <c r="H281" s="26" t="n"/>
      <c r="I281" s="26" t="n"/>
      <c r="J281" s="27" t="n"/>
      <c r="K281" s="28" t="n"/>
      <c r="L281" s="23" t="n"/>
      <c r="M281" s="23" t="n"/>
      <c r="N281" s="27" t="n"/>
      <c r="O281" s="29" t="n"/>
      <c r="P281" s="27" t="n"/>
      <c r="Q281" s="27" t="n"/>
      <c r="R281" s="23">
        <f>IF(OR(I281="",J281="Done"),"",IF(I281&lt;TODAY(),"OVERDUE",""))</f>
        <v/>
      </c>
      <c r="S281" s="23" t="n"/>
    </row>
    <row r="282">
      <c r="A282" s="23" t="n"/>
      <c r="B282" s="23" t="n"/>
      <c r="C282" s="23" t="n"/>
      <c r="D282" s="23" t="n"/>
      <c r="E282" s="23" t="n"/>
      <c r="F282" s="23" t="n"/>
      <c r="G282" s="23">
        <f>IF(F282="","",IF(F282="All","Whole team",IFERROR(INDEX(Team!$B$5:$B$10,MATCH(F282,Team!$A$5:$A$10,0)),"")))</f>
        <v/>
      </c>
      <c r="H282" s="26" t="n"/>
      <c r="I282" s="26" t="n"/>
      <c r="J282" s="27" t="n"/>
      <c r="K282" s="28" t="n"/>
      <c r="L282" s="23" t="n"/>
      <c r="M282" s="23" t="n"/>
      <c r="N282" s="27" t="n"/>
      <c r="O282" s="29" t="n"/>
      <c r="P282" s="27" t="n"/>
      <c r="Q282" s="27" t="n"/>
      <c r="R282" s="23">
        <f>IF(OR(I282="",J282="Done"),"",IF(I282&lt;TODAY(),"OVERDUE",""))</f>
        <v/>
      </c>
      <c r="S282" s="23" t="n"/>
    </row>
    <row r="283">
      <c r="A283" s="23" t="n"/>
      <c r="B283" s="23" t="n"/>
      <c r="C283" s="23" t="n"/>
      <c r="D283" s="23" t="n"/>
      <c r="E283" s="23" t="n"/>
      <c r="F283" s="23" t="n"/>
      <c r="G283" s="23">
        <f>IF(F283="","",IF(F283="All","Whole team",IFERROR(INDEX(Team!$B$5:$B$10,MATCH(F283,Team!$A$5:$A$10,0)),"")))</f>
        <v/>
      </c>
      <c r="H283" s="26" t="n"/>
      <c r="I283" s="26" t="n"/>
      <c r="J283" s="27" t="n"/>
      <c r="K283" s="28" t="n"/>
      <c r="L283" s="23" t="n"/>
      <c r="M283" s="23" t="n"/>
      <c r="N283" s="27" t="n"/>
      <c r="O283" s="29" t="n"/>
      <c r="P283" s="27" t="n"/>
      <c r="Q283" s="27" t="n"/>
      <c r="R283" s="23">
        <f>IF(OR(I283="",J283="Done"),"",IF(I283&lt;TODAY(),"OVERDUE",""))</f>
        <v/>
      </c>
      <c r="S283" s="23" t="n"/>
    </row>
    <row r="284">
      <c r="A284" s="23" t="n"/>
      <c r="B284" s="23" t="n"/>
      <c r="C284" s="23" t="n"/>
      <c r="D284" s="23" t="n"/>
      <c r="E284" s="23" t="n"/>
      <c r="F284" s="23" t="n"/>
      <c r="G284" s="23">
        <f>IF(F284="","",IF(F284="All","Whole team",IFERROR(INDEX(Team!$B$5:$B$10,MATCH(F284,Team!$A$5:$A$10,0)),"")))</f>
        <v/>
      </c>
      <c r="H284" s="26" t="n"/>
      <c r="I284" s="26" t="n"/>
      <c r="J284" s="27" t="n"/>
      <c r="K284" s="28" t="n"/>
      <c r="L284" s="23" t="n"/>
      <c r="M284" s="23" t="n"/>
      <c r="N284" s="27" t="n"/>
      <c r="O284" s="29" t="n"/>
      <c r="P284" s="27" t="n"/>
      <c r="Q284" s="27" t="n"/>
      <c r="R284" s="23">
        <f>IF(OR(I284="",J284="Done"),"",IF(I284&lt;TODAY(),"OVERDUE",""))</f>
        <v/>
      </c>
      <c r="S284" s="23" t="n"/>
    </row>
    <row r="285">
      <c r="A285" s="23" t="n"/>
      <c r="B285" s="23" t="n"/>
      <c r="C285" s="23" t="n"/>
      <c r="D285" s="23" t="n"/>
      <c r="E285" s="23" t="n"/>
      <c r="F285" s="23" t="n"/>
      <c r="G285" s="23">
        <f>IF(F285="","",IF(F285="All","Whole team",IFERROR(INDEX(Team!$B$5:$B$10,MATCH(F285,Team!$A$5:$A$10,0)),"")))</f>
        <v/>
      </c>
      <c r="H285" s="26" t="n"/>
      <c r="I285" s="26" t="n"/>
      <c r="J285" s="27" t="n"/>
      <c r="K285" s="28" t="n"/>
      <c r="L285" s="23" t="n"/>
      <c r="M285" s="23" t="n"/>
      <c r="N285" s="27" t="n"/>
      <c r="O285" s="29" t="n"/>
      <c r="P285" s="27" t="n"/>
      <c r="Q285" s="27" t="n"/>
      <c r="R285" s="23">
        <f>IF(OR(I285="",J285="Done"),"",IF(I285&lt;TODAY(),"OVERDUE",""))</f>
        <v/>
      </c>
      <c r="S285" s="23" t="n"/>
    </row>
    <row r="286">
      <c r="A286" s="23" t="n"/>
      <c r="B286" s="23" t="n"/>
      <c r="C286" s="23" t="n"/>
      <c r="D286" s="23" t="n"/>
      <c r="E286" s="23" t="n"/>
      <c r="F286" s="23" t="n"/>
      <c r="G286" s="23">
        <f>IF(F286="","",IF(F286="All","Whole team",IFERROR(INDEX(Team!$B$5:$B$10,MATCH(F286,Team!$A$5:$A$10,0)),"")))</f>
        <v/>
      </c>
      <c r="H286" s="26" t="n"/>
      <c r="I286" s="26" t="n"/>
      <c r="J286" s="27" t="n"/>
      <c r="K286" s="28" t="n"/>
      <c r="L286" s="23" t="n"/>
      <c r="M286" s="23" t="n"/>
      <c r="N286" s="27" t="n"/>
      <c r="O286" s="29" t="n"/>
      <c r="P286" s="27" t="n"/>
      <c r="Q286" s="27" t="n"/>
      <c r="R286" s="23">
        <f>IF(OR(I286="",J286="Done"),"",IF(I286&lt;TODAY(),"OVERDUE",""))</f>
        <v/>
      </c>
      <c r="S286" s="23" t="n"/>
    </row>
    <row r="287">
      <c r="A287" s="23" t="n"/>
      <c r="B287" s="23" t="n"/>
      <c r="C287" s="23" t="n"/>
      <c r="D287" s="23" t="n"/>
      <c r="E287" s="23" t="n"/>
      <c r="F287" s="23" t="n"/>
      <c r="G287" s="23">
        <f>IF(F287="","",IF(F287="All","Whole team",IFERROR(INDEX(Team!$B$5:$B$10,MATCH(F287,Team!$A$5:$A$10,0)),"")))</f>
        <v/>
      </c>
      <c r="H287" s="26" t="n"/>
      <c r="I287" s="26" t="n"/>
      <c r="J287" s="27" t="n"/>
      <c r="K287" s="28" t="n"/>
      <c r="L287" s="23" t="n"/>
      <c r="M287" s="23" t="n"/>
      <c r="N287" s="27" t="n"/>
      <c r="O287" s="29" t="n"/>
      <c r="P287" s="27" t="n"/>
      <c r="Q287" s="27" t="n"/>
      <c r="R287" s="23">
        <f>IF(OR(I287="",J287="Done"),"",IF(I287&lt;TODAY(),"OVERDUE",""))</f>
        <v/>
      </c>
      <c r="S287" s="23" t="n"/>
    </row>
    <row r="288">
      <c r="A288" s="23" t="n"/>
      <c r="B288" s="23" t="n"/>
      <c r="C288" s="23" t="n"/>
      <c r="D288" s="23" t="n"/>
      <c r="E288" s="23" t="n"/>
      <c r="F288" s="23" t="n"/>
      <c r="G288" s="23">
        <f>IF(F288="","",IF(F288="All","Whole team",IFERROR(INDEX(Team!$B$5:$B$10,MATCH(F288,Team!$A$5:$A$10,0)),"")))</f>
        <v/>
      </c>
      <c r="H288" s="26" t="n"/>
      <c r="I288" s="26" t="n"/>
      <c r="J288" s="27" t="n"/>
      <c r="K288" s="28" t="n"/>
      <c r="L288" s="23" t="n"/>
      <c r="M288" s="23" t="n"/>
      <c r="N288" s="27" t="n"/>
      <c r="O288" s="29" t="n"/>
      <c r="P288" s="27" t="n"/>
      <c r="Q288" s="27" t="n"/>
      <c r="R288" s="23">
        <f>IF(OR(I288="",J288="Done"),"",IF(I288&lt;TODAY(),"OVERDUE",""))</f>
        <v/>
      </c>
      <c r="S288" s="23" t="n"/>
    </row>
    <row r="289">
      <c r="A289" s="23" t="n"/>
      <c r="B289" s="23" t="n"/>
      <c r="C289" s="23" t="n"/>
      <c r="D289" s="23" t="n"/>
      <c r="E289" s="23" t="n"/>
      <c r="F289" s="23" t="n"/>
      <c r="G289" s="23">
        <f>IF(F289="","",IF(F289="All","Whole team",IFERROR(INDEX(Team!$B$5:$B$10,MATCH(F289,Team!$A$5:$A$10,0)),"")))</f>
        <v/>
      </c>
      <c r="H289" s="26" t="n"/>
      <c r="I289" s="26" t="n"/>
      <c r="J289" s="27" t="n"/>
      <c r="K289" s="28" t="n"/>
      <c r="L289" s="23" t="n"/>
      <c r="M289" s="23" t="n"/>
      <c r="N289" s="27" t="n"/>
      <c r="O289" s="29" t="n"/>
      <c r="P289" s="27" t="n"/>
      <c r="Q289" s="27" t="n"/>
      <c r="R289" s="23">
        <f>IF(OR(I289="",J289="Done"),"",IF(I289&lt;TODAY(),"OVERDUE",""))</f>
        <v/>
      </c>
      <c r="S289" s="23" t="n"/>
    </row>
    <row r="290">
      <c r="A290" s="23" t="n"/>
      <c r="B290" s="23" t="n"/>
      <c r="C290" s="23" t="n"/>
      <c r="D290" s="23" t="n"/>
      <c r="E290" s="23" t="n"/>
      <c r="F290" s="23" t="n"/>
      <c r="G290" s="23">
        <f>IF(F290="","",IF(F290="All","Whole team",IFERROR(INDEX(Team!$B$5:$B$10,MATCH(F290,Team!$A$5:$A$10,0)),"")))</f>
        <v/>
      </c>
      <c r="H290" s="26" t="n"/>
      <c r="I290" s="26" t="n"/>
      <c r="J290" s="27" t="n"/>
      <c r="K290" s="28" t="n"/>
      <c r="L290" s="23" t="n"/>
      <c r="M290" s="23" t="n"/>
      <c r="N290" s="27" t="n"/>
      <c r="O290" s="29" t="n"/>
      <c r="P290" s="27" t="n"/>
      <c r="Q290" s="27" t="n"/>
      <c r="R290" s="23">
        <f>IF(OR(I290="",J290="Done"),"",IF(I290&lt;TODAY(),"OVERDUE",""))</f>
        <v/>
      </c>
      <c r="S290" s="23" t="n"/>
    </row>
    <row r="291">
      <c r="A291" s="23" t="n"/>
      <c r="B291" s="23" t="n"/>
      <c r="C291" s="23" t="n"/>
      <c r="D291" s="23" t="n"/>
      <c r="E291" s="23" t="n"/>
      <c r="F291" s="23" t="n"/>
      <c r="G291" s="23">
        <f>IF(F291="","",IF(F291="All","Whole team",IFERROR(INDEX(Team!$B$5:$B$10,MATCH(F291,Team!$A$5:$A$10,0)),"")))</f>
        <v/>
      </c>
      <c r="H291" s="26" t="n"/>
      <c r="I291" s="26" t="n"/>
      <c r="J291" s="27" t="n"/>
      <c r="K291" s="28" t="n"/>
      <c r="L291" s="23" t="n"/>
      <c r="M291" s="23" t="n"/>
      <c r="N291" s="27" t="n"/>
      <c r="O291" s="29" t="n"/>
      <c r="P291" s="27" t="n"/>
      <c r="Q291" s="27" t="n"/>
      <c r="R291" s="23">
        <f>IF(OR(I291="",J291="Done"),"",IF(I291&lt;TODAY(),"OVERDUE",""))</f>
        <v/>
      </c>
      <c r="S291" s="23" t="n"/>
    </row>
    <row r="292">
      <c r="A292" s="23" t="n"/>
      <c r="B292" s="23" t="n"/>
      <c r="C292" s="23" t="n"/>
      <c r="D292" s="23" t="n"/>
      <c r="E292" s="23" t="n"/>
      <c r="F292" s="23" t="n"/>
      <c r="G292" s="23">
        <f>IF(F292="","",IF(F292="All","Whole team",IFERROR(INDEX(Team!$B$5:$B$10,MATCH(F292,Team!$A$5:$A$10,0)),"")))</f>
        <v/>
      </c>
      <c r="H292" s="26" t="n"/>
      <c r="I292" s="26" t="n"/>
      <c r="J292" s="27" t="n"/>
      <c r="K292" s="28" t="n"/>
      <c r="L292" s="23" t="n"/>
      <c r="M292" s="23" t="n"/>
      <c r="N292" s="27" t="n"/>
      <c r="O292" s="29" t="n"/>
      <c r="P292" s="27" t="n"/>
      <c r="Q292" s="27" t="n"/>
      <c r="R292" s="23">
        <f>IF(OR(I292="",J292="Done"),"",IF(I292&lt;TODAY(),"OVERDUE",""))</f>
        <v/>
      </c>
      <c r="S292" s="23" t="n"/>
    </row>
    <row r="293">
      <c r="A293" s="23" t="n"/>
      <c r="B293" s="23" t="n"/>
      <c r="C293" s="23" t="n"/>
      <c r="D293" s="23" t="n"/>
      <c r="E293" s="23" t="n"/>
      <c r="F293" s="23" t="n"/>
      <c r="G293" s="23">
        <f>IF(F293="","",IF(F293="All","Whole team",IFERROR(INDEX(Team!$B$5:$B$10,MATCH(F293,Team!$A$5:$A$10,0)),"")))</f>
        <v/>
      </c>
      <c r="H293" s="26" t="n"/>
      <c r="I293" s="26" t="n"/>
      <c r="J293" s="27" t="n"/>
      <c r="K293" s="28" t="n"/>
      <c r="L293" s="23" t="n"/>
      <c r="M293" s="23" t="n"/>
      <c r="N293" s="27" t="n"/>
      <c r="O293" s="29" t="n"/>
      <c r="P293" s="27" t="n"/>
      <c r="Q293" s="27" t="n"/>
      <c r="R293" s="23">
        <f>IF(OR(I293="",J293="Done"),"",IF(I293&lt;TODAY(),"OVERDUE",""))</f>
        <v/>
      </c>
      <c r="S293" s="23" t="n"/>
    </row>
    <row r="294">
      <c r="A294" s="23" t="n"/>
      <c r="B294" s="23" t="n"/>
      <c r="C294" s="23" t="n"/>
      <c r="D294" s="23" t="n"/>
      <c r="E294" s="23" t="n"/>
      <c r="F294" s="23" t="n"/>
      <c r="G294" s="23">
        <f>IF(F294="","",IF(F294="All","Whole team",IFERROR(INDEX(Team!$B$5:$B$10,MATCH(F294,Team!$A$5:$A$10,0)),"")))</f>
        <v/>
      </c>
      <c r="H294" s="26" t="n"/>
      <c r="I294" s="26" t="n"/>
      <c r="J294" s="27" t="n"/>
      <c r="K294" s="28" t="n"/>
      <c r="L294" s="23" t="n"/>
      <c r="M294" s="23" t="n"/>
      <c r="N294" s="27" t="n"/>
      <c r="O294" s="29" t="n"/>
      <c r="P294" s="27" t="n"/>
      <c r="Q294" s="27" t="n"/>
      <c r="R294" s="23">
        <f>IF(OR(I294="",J294="Done"),"",IF(I294&lt;TODAY(),"OVERDUE",""))</f>
        <v/>
      </c>
      <c r="S294" s="23" t="n"/>
    </row>
    <row r="295">
      <c r="A295" s="23" t="n"/>
      <c r="B295" s="23" t="n"/>
      <c r="C295" s="23" t="n"/>
      <c r="D295" s="23" t="n"/>
      <c r="E295" s="23" t="n"/>
      <c r="F295" s="23" t="n"/>
      <c r="G295" s="23">
        <f>IF(F295="","",IF(F295="All","Whole team",IFERROR(INDEX(Team!$B$5:$B$10,MATCH(F295,Team!$A$5:$A$10,0)),"")))</f>
        <v/>
      </c>
      <c r="H295" s="26" t="n"/>
      <c r="I295" s="26" t="n"/>
      <c r="J295" s="27" t="n"/>
      <c r="K295" s="28" t="n"/>
      <c r="L295" s="23" t="n"/>
      <c r="M295" s="23" t="n"/>
      <c r="N295" s="27" t="n"/>
      <c r="O295" s="29" t="n"/>
      <c r="P295" s="27" t="n"/>
      <c r="Q295" s="27" t="n"/>
      <c r="R295" s="23">
        <f>IF(OR(I295="",J295="Done"),"",IF(I295&lt;TODAY(),"OVERDUE",""))</f>
        <v/>
      </c>
      <c r="S295" s="23" t="n"/>
    </row>
    <row r="296">
      <c r="A296" s="23" t="n"/>
      <c r="B296" s="23" t="n"/>
      <c r="C296" s="23" t="n"/>
      <c r="D296" s="23" t="n"/>
      <c r="E296" s="23" t="n"/>
      <c r="F296" s="23" t="n"/>
      <c r="G296" s="23">
        <f>IF(F296="","",IF(F296="All","Whole team",IFERROR(INDEX(Team!$B$5:$B$10,MATCH(F296,Team!$A$5:$A$10,0)),"")))</f>
        <v/>
      </c>
      <c r="H296" s="26" t="n"/>
      <c r="I296" s="26" t="n"/>
      <c r="J296" s="27" t="n"/>
      <c r="K296" s="28" t="n"/>
      <c r="L296" s="23" t="n"/>
      <c r="M296" s="23" t="n"/>
      <c r="N296" s="27" t="n"/>
      <c r="O296" s="29" t="n"/>
      <c r="P296" s="27" t="n"/>
      <c r="Q296" s="27" t="n"/>
      <c r="R296" s="23">
        <f>IF(OR(I296="",J296="Done"),"",IF(I296&lt;TODAY(),"OVERDUE",""))</f>
        <v/>
      </c>
      <c r="S296" s="23" t="n"/>
    </row>
    <row r="297">
      <c r="A297" s="23" t="n"/>
      <c r="B297" s="23" t="n"/>
      <c r="C297" s="23" t="n"/>
      <c r="D297" s="23" t="n"/>
      <c r="E297" s="23" t="n"/>
      <c r="F297" s="23" t="n"/>
      <c r="G297" s="23">
        <f>IF(F297="","",IF(F297="All","Whole team",IFERROR(INDEX(Team!$B$5:$B$10,MATCH(F297,Team!$A$5:$A$10,0)),"")))</f>
        <v/>
      </c>
      <c r="H297" s="26" t="n"/>
      <c r="I297" s="26" t="n"/>
      <c r="J297" s="27" t="n"/>
      <c r="K297" s="28" t="n"/>
      <c r="L297" s="23" t="n"/>
      <c r="M297" s="23" t="n"/>
      <c r="N297" s="27" t="n"/>
      <c r="O297" s="29" t="n"/>
      <c r="P297" s="27" t="n"/>
      <c r="Q297" s="27" t="n"/>
      <c r="R297" s="23">
        <f>IF(OR(I297="",J297="Done"),"",IF(I297&lt;TODAY(),"OVERDUE",""))</f>
        <v/>
      </c>
      <c r="S297" s="23" t="n"/>
    </row>
    <row r="298">
      <c r="A298" s="23" t="n"/>
      <c r="B298" s="23" t="n"/>
      <c r="C298" s="23" t="n"/>
      <c r="D298" s="23" t="n"/>
      <c r="E298" s="23" t="n"/>
      <c r="F298" s="23" t="n"/>
      <c r="G298" s="23">
        <f>IF(F298="","",IF(F298="All","Whole team",IFERROR(INDEX(Team!$B$5:$B$10,MATCH(F298,Team!$A$5:$A$10,0)),"")))</f>
        <v/>
      </c>
      <c r="H298" s="26" t="n"/>
      <c r="I298" s="26" t="n"/>
      <c r="J298" s="27" t="n"/>
      <c r="K298" s="28" t="n"/>
      <c r="L298" s="23" t="n"/>
      <c r="M298" s="23" t="n"/>
      <c r="N298" s="27" t="n"/>
      <c r="O298" s="29" t="n"/>
      <c r="P298" s="27" t="n"/>
      <c r="Q298" s="27" t="n"/>
      <c r="R298" s="23">
        <f>IF(OR(I298="",J298="Done"),"",IF(I298&lt;TODAY(),"OVERDUE",""))</f>
        <v/>
      </c>
      <c r="S298" s="23" t="n"/>
    </row>
    <row r="299">
      <c r="A299" s="23" t="n"/>
      <c r="B299" s="23" t="n"/>
      <c r="C299" s="23" t="n"/>
      <c r="D299" s="23" t="n"/>
      <c r="E299" s="23" t="n"/>
      <c r="F299" s="23" t="n"/>
      <c r="G299" s="23">
        <f>IF(F299="","",IF(F299="All","Whole team",IFERROR(INDEX(Team!$B$5:$B$10,MATCH(F299,Team!$A$5:$A$10,0)),"")))</f>
        <v/>
      </c>
      <c r="H299" s="26" t="n"/>
      <c r="I299" s="26" t="n"/>
      <c r="J299" s="27" t="n"/>
      <c r="K299" s="28" t="n"/>
      <c r="L299" s="23" t="n"/>
      <c r="M299" s="23" t="n"/>
      <c r="N299" s="27" t="n"/>
      <c r="O299" s="29" t="n"/>
      <c r="P299" s="27" t="n"/>
      <c r="Q299" s="27" t="n"/>
      <c r="R299" s="23">
        <f>IF(OR(I299="",J299="Done"),"",IF(I299&lt;TODAY(),"OVERDUE",""))</f>
        <v/>
      </c>
      <c r="S299" s="23" t="n"/>
    </row>
    <row r="300">
      <c r="A300" s="23" t="n"/>
      <c r="B300" s="23" t="n"/>
      <c r="C300" s="23" t="n"/>
      <c r="D300" s="23" t="n"/>
      <c r="E300" s="23" t="n"/>
      <c r="F300" s="23" t="n"/>
      <c r="G300" s="23">
        <f>IF(F300="","",IF(F300="All","Whole team",IFERROR(INDEX(Team!$B$5:$B$10,MATCH(F300,Team!$A$5:$A$10,0)),"")))</f>
        <v/>
      </c>
      <c r="H300" s="26" t="n"/>
      <c r="I300" s="26" t="n"/>
      <c r="J300" s="27" t="n"/>
      <c r="K300" s="28" t="n"/>
      <c r="L300" s="23" t="n"/>
      <c r="M300" s="23" t="n"/>
      <c r="N300" s="27" t="n"/>
      <c r="O300" s="29" t="n"/>
      <c r="P300" s="27" t="n"/>
      <c r="Q300" s="27" t="n"/>
      <c r="R300" s="23">
        <f>IF(OR(I300="",J300="Done"),"",IF(I300&lt;TODAY(),"OVERDUE",""))</f>
        <v/>
      </c>
      <c r="S300" s="23" t="n"/>
    </row>
    <row r="301">
      <c r="A301" s="23" t="n"/>
      <c r="B301" s="23" t="n"/>
      <c r="C301" s="23" t="n"/>
      <c r="D301" s="23" t="n"/>
      <c r="E301" s="23" t="n"/>
      <c r="F301" s="23" t="n"/>
      <c r="G301" s="23">
        <f>IF(F301="","",IF(F301="All","Whole team",IFERROR(INDEX(Team!$B$5:$B$10,MATCH(F301,Team!$A$5:$A$10,0)),"")))</f>
        <v/>
      </c>
      <c r="H301" s="26" t="n"/>
      <c r="I301" s="26" t="n"/>
      <c r="J301" s="27" t="n"/>
      <c r="K301" s="28" t="n"/>
      <c r="L301" s="23" t="n"/>
      <c r="M301" s="23" t="n"/>
      <c r="N301" s="27" t="n"/>
      <c r="O301" s="29" t="n"/>
      <c r="P301" s="27" t="n"/>
      <c r="Q301" s="27" t="n"/>
      <c r="R301" s="23">
        <f>IF(OR(I301="",J301="Done"),"",IF(I301&lt;TODAY(),"OVERDUE",""))</f>
        <v/>
      </c>
      <c r="S301" s="23" t="n"/>
    </row>
    <row r="302">
      <c r="A302" s="23" t="n"/>
      <c r="B302" s="23" t="n"/>
      <c r="C302" s="23" t="n"/>
      <c r="D302" s="23" t="n"/>
      <c r="E302" s="23" t="n"/>
      <c r="F302" s="23" t="n"/>
      <c r="G302" s="23">
        <f>IF(F302="","",IF(F302="All","Whole team",IFERROR(INDEX(Team!$B$5:$B$10,MATCH(F302,Team!$A$5:$A$10,0)),"")))</f>
        <v/>
      </c>
      <c r="H302" s="26" t="n"/>
      <c r="I302" s="26" t="n"/>
      <c r="J302" s="27" t="n"/>
      <c r="K302" s="28" t="n"/>
      <c r="L302" s="23" t="n"/>
      <c r="M302" s="23" t="n"/>
      <c r="N302" s="27" t="n"/>
      <c r="O302" s="29" t="n"/>
      <c r="P302" s="27" t="n"/>
      <c r="Q302" s="27" t="n"/>
      <c r="R302" s="23">
        <f>IF(OR(I302="",J302="Done"),"",IF(I302&lt;TODAY(),"OVERDUE",""))</f>
        <v/>
      </c>
      <c r="S302" s="23" t="n"/>
    </row>
    <row r="303">
      <c r="A303" s="23" t="n"/>
      <c r="B303" s="23" t="n"/>
      <c r="C303" s="23" t="n"/>
      <c r="D303" s="23" t="n"/>
      <c r="E303" s="23" t="n"/>
      <c r="F303" s="23" t="n"/>
      <c r="G303" s="23">
        <f>IF(F303="","",IF(F303="All","Whole team",IFERROR(INDEX(Team!$B$5:$B$10,MATCH(F303,Team!$A$5:$A$10,0)),"")))</f>
        <v/>
      </c>
      <c r="H303" s="26" t="n"/>
      <c r="I303" s="26" t="n"/>
      <c r="J303" s="27" t="n"/>
      <c r="K303" s="28" t="n"/>
      <c r="L303" s="23" t="n"/>
      <c r="M303" s="23" t="n"/>
      <c r="N303" s="27" t="n"/>
      <c r="O303" s="29" t="n"/>
      <c r="P303" s="27" t="n"/>
      <c r="Q303" s="27" t="n"/>
      <c r="R303" s="23">
        <f>IF(OR(I303="",J303="Done"),"",IF(I303&lt;TODAY(),"OVERDUE",""))</f>
        <v/>
      </c>
      <c r="S303" s="23" t="n"/>
    </row>
    <row r="304">
      <c r="A304" s="23" t="n"/>
      <c r="B304" s="23" t="n"/>
      <c r="C304" s="23" t="n"/>
      <c r="D304" s="23" t="n"/>
      <c r="E304" s="23" t="n"/>
      <c r="F304" s="23" t="n"/>
      <c r="G304" s="23">
        <f>IF(F304="","",IF(F304="All","Whole team",IFERROR(INDEX(Team!$B$5:$B$10,MATCH(F304,Team!$A$5:$A$10,0)),"")))</f>
        <v/>
      </c>
      <c r="H304" s="26" t="n"/>
      <c r="I304" s="26" t="n"/>
      <c r="J304" s="27" t="n"/>
      <c r="K304" s="28" t="n"/>
      <c r="L304" s="23" t="n"/>
      <c r="M304" s="23" t="n"/>
      <c r="N304" s="27" t="n"/>
      <c r="O304" s="29" t="n"/>
      <c r="P304" s="27" t="n"/>
      <c r="Q304" s="27" t="n"/>
      <c r="R304" s="23">
        <f>IF(OR(I304="",J304="Done"),"",IF(I304&lt;TODAY(),"OVERDUE",""))</f>
        <v/>
      </c>
      <c r="S304" s="23" t="n"/>
    </row>
    <row r="305">
      <c r="A305" s="23" t="n"/>
      <c r="B305" s="23" t="n"/>
      <c r="C305" s="23" t="n"/>
      <c r="D305" s="23" t="n"/>
      <c r="E305" s="23" t="n"/>
      <c r="F305" s="23" t="n"/>
      <c r="G305" s="23">
        <f>IF(F305="","",IF(F305="All","Whole team",IFERROR(INDEX(Team!$B$5:$B$10,MATCH(F305,Team!$A$5:$A$10,0)),"")))</f>
        <v/>
      </c>
      <c r="H305" s="26" t="n"/>
      <c r="I305" s="26" t="n"/>
      <c r="J305" s="27" t="n"/>
      <c r="K305" s="28" t="n"/>
      <c r="L305" s="23" t="n"/>
      <c r="M305" s="23" t="n"/>
      <c r="N305" s="27" t="n"/>
      <c r="O305" s="29" t="n"/>
      <c r="P305" s="27" t="n"/>
      <c r="Q305" s="27" t="n"/>
      <c r="R305" s="23">
        <f>IF(OR(I305="",J305="Done"),"",IF(I305&lt;TODAY(),"OVERDUE",""))</f>
        <v/>
      </c>
      <c r="S305" s="23" t="n"/>
    </row>
    <row r="306">
      <c r="A306" s="23" t="n"/>
      <c r="B306" s="23" t="n"/>
      <c r="C306" s="23" t="n"/>
      <c r="D306" s="23" t="n"/>
      <c r="E306" s="23" t="n"/>
      <c r="F306" s="23" t="n"/>
      <c r="G306" s="23">
        <f>IF(F306="","",IF(F306="All","Whole team",IFERROR(INDEX(Team!$B$5:$B$10,MATCH(F306,Team!$A$5:$A$10,0)),"")))</f>
        <v/>
      </c>
      <c r="H306" s="26" t="n"/>
      <c r="I306" s="26" t="n"/>
      <c r="J306" s="27" t="n"/>
      <c r="K306" s="28" t="n"/>
      <c r="L306" s="23" t="n"/>
      <c r="M306" s="23" t="n"/>
      <c r="N306" s="27" t="n"/>
      <c r="O306" s="29" t="n"/>
      <c r="P306" s="27" t="n"/>
      <c r="Q306" s="27" t="n"/>
      <c r="R306" s="23">
        <f>IF(OR(I306="",J306="Done"),"",IF(I306&lt;TODAY(),"OVERDUE",""))</f>
        <v/>
      </c>
      <c r="S306" s="23" t="n"/>
    </row>
    <row r="307">
      <c r="A307" s="23" t="n"/>
      <c r="B307" s="23" t="n"/>
      <c r="C307" s="23" t="n"/>
      <c r="D307" s="23" t="n"/>
      <c r="E307" s="23" t="n"/>
      <c r="F307" s="23" t="n"/>
      <c r="G307" s="23">
        <f>IF(F307="","",IF(F307="All","Whole team",IFERROR(INDEX(Team!$B$5:$B$10,MATCH(F307,Team!$A$5:$A$10,0)),"")))</f>
        <v/>
      </c>
      <c r="H307" s="26" t="n"/>
      <c r="I307" s="26" t="n"/>
      <c r="J307" s="27" t="n"/>
      <c r="K307" s="28" t="n"/>
      <c r="L307" s="23" t="n"/>
      <c r="M307" s="23" t="n"/>
      <c r="N307" s="27" t="n"/>
      <c r="O307" s="29" t="n"/>
      <c r="P307" s="27" t="n"/>
      <c r="Q307" s="27" t="n"/>
      <c r="R307" s="23">
        <f>IF(OR(I307="",J307="Done"),"",IF(I307&lt;TODAY(),"OVERDUE",""))</f>
        <v/>
      </c>
      <c r="S307" s="23" t="n"/>
    </row>
    <row r="308">
      <c r="A308" s="23" t="n"/>
      <c r="B308" s="23" t="n"/>
      <c r="C308" s="23" t="n"/>
      <c r="D308" s="23" t="n"/>
      <c r="E308" s="23" t="n"/>
      <c r="F308" s="23" t="n"/>
      <c r="G308" s="23">
        <f>IF(F308="","",IF(F308="All","Whole team",IFERROR(INDEX(Team!$B$5:$B$10,MATCH(F308,Team!$A$5:$A$10,0)),"")))</f>
        <v/>
      </c>
      <c r="H308" s="26" t="n"/>
      <c r="I308" s="26" t="n"/>
      <c r="J308" s="27" t="n"/>
      <c r="K308" s="28" t="n"/>
      <c r="L308" s="23" t="n"/>
      <c r="M308" s="23" t="n"/>
      <c r="N308" s="27" t="n"/>
      <c r="O308" s="29" t="n"/>
      <c r="P308" s="27" t="n"/>
      <c r="Q308" s="27" t="n"/>
      <c r="R308" s="23">
        <f>IF(OR(I308="",J308="Done"),"",IF(I308&lt;TODAY(),"OVERDUE",""))</f>
        <v/>
      </c>
      <c r="S308" s="23" t="n"/>
    </row>
    <row r="309">
      <c r="A309" s="23" t="n"/>
      <c r="B309" s="23" t="n"/>
      <c r="C309" s="23" t="n"/>
      <c r="D309" s="23" t="n"/>
      <c r="E309" s="23" t="n"/>
      <c r="F309" s="23" t="n"/>
      <c r="G309" s="23">
        <f>IF(F309="","",IF(F309="All","Whole team",IFERROR(INDEX(Team!$B$5:$B$10,MATCH(F309,Team!$A$5:$A$10,0)),"")))</f>
        <v/>
      </c>
      <c r="H309" s="26" t="n"/>
      <c r="I309" s="26" t="n"/>
      <c r="J309" s="27" t="n"/>
      <c r="K309" s="28" t="n"/>
      <c r="L309" s="23" t="n"/>
      <c r="M309" s="23" t="n"/>
      <c r="N309" s="27" t="n"/>
      <c r="O309" s="29" t="n"/>
      <c r="P309" s="27" t="n"/>
      <c r="Q309" s="27" t="n"/>
      <c r="R309" s="23">
        <f>IF(OR(I309="",J309="Done"),"",IF(I309&lt;TODAY(),"OVERDUE",""))</f>
        <v/>
      </c>
      <c r="S309" s="23" t="n"/>
    </row>
    <row r="310">
      <c r="A310" s="23" t="n"/>
      <c r="B310" s="23" t="n"/>
      <c r="C310" s="23" t="n"/>
      <c r="D310" s="23" t="n"/>
      <c r="E310" s="23" t="n"/>
      <c r="F310" s="23" t="n"/>
      <c r="G310" s="23">
        <f>IF(F310="","",IF(F310="All","Whole team",IFERROR(INDEX(Team!$B$5:$B$10,MATCH(F310,Team!$A$5:$A$10,0)),"")))</f>
        <v/>
      </c>
      <c r="H310" s="26" t="n"/>
      <c r="I310" s="26" t="n"/>
      <c r="J310" s="27" t="n"/>
      <c r="K310" s="28" t="n"/>
      <c r="L310" s="23" t="n"/>
      <c r="M310" s="23" t="n"/>
      <c r="N310" s="27" t="n"/>
      <c r="O310" s="29" t="n"/>
      <c r="P310" s="27" t="n"/>
      <c r="Q310" s="27" t="n"/>
      <c r="R310" s="23">
        <f>IF(OR(I310="",J310="Done"),"",IF(I310&lt;TODAY(),"OVERDUE",""))</f>
        <v/>
      </c>
      <c r="S310" s="23" t="n"/>
    </row>
    <row r="311">
      <c r="A311" s="23" t="n"/>
      <c r="B311" s="23" t="n"/>
      <c r="C311" s="23" t="n"/>
      <c r="D311" s="23" t="n"/>
      <c r="E311" s="23" t="n"/>
      <c r="F311" s="23" t="n"/>
      <c r="G311" s="23">
        <f>IF(F311="","",IF(F311="All","Whole team",IFERROR(INDEX(Team!$B$5:$B$10,MATCH(F311,Team!$A$5:$A$10,0)),"")))</f>
        <v/>
      </c>
      <c r="H311" s="26" t="n"/>
      <c r="I311" s="26" t="n"/>
      <c r="J311" s="27" t="n"/>
      <c r="K311" s="28" t="n"/>
      <c r="L311" s="23" t="n"/>
      <c r="M311" s="23" t="n"/>
      <c r="N311" s="27" t="n"/>
      <c r="O311" s="29" t="n"/>
      <c r="P311" s="27" t="n"/>
      <c r="Q311" s="27" t="n"/>
      <c r="R311" s="23">
        <f>IF(OR(I311="",J311="Done"),"",IF(I311&lt;TODAY(),"OVERDUE",""))</f>
        <v/>
      </c>
      <c r="S311" s="23" t="n"/>
    </row>
    <row r="312">
      <c r="A312" s="23" t="n"/>
      <c r="B312" s="23" t="n"/>
      <c r="C312" s="23" t="n"/>
      <c r="D312" s="23" t="n"/>
      <c r="E312" s="23" t="n"/>
      <c r="F312" s="23" t="n"/>
      <c r="G312" s="23">
        <f>IF(F312="","",IF(F312="All","Whole team",IFERROR(INDEX(Team!$B$5:$B$10,MATCH(F312,Team!$A$5:$A$10,0)),"")))</f>
        <v/>
      </c>
      <c r="H312" s="26" t="n"/>
      <c r="I312" s="26" t="n"/>
      <c r="J312" s="27" t="n"/>
      <c r="K312" s="28" t="n"/>
      <c r="L312" s="23" t="n"/>
      <c r="M312" s="23" t="n"/>
      <c r="N312" s="27" t="n"/>
      <c r="O312" s="29" t="n"/>
      <c r="P312" s="27" t="n"/>
      <c r="Q312" s="27" t="n"/>
      <c r="R312" s="23">
        <f>IF(OR(I312="",J312="Done"),"",IF(I312&lt;TODAY(),"OVERDUE",""))</f>
        <v/>
      </c>
      <c r="S312" s="23" t="n"/>
    </row>
    <row r="313">
      <c r="A313" s="23" t="n"/>
      <c r="B313" s="23" t="n"/>
      <c r="C313" s="23" t="n"/>
      <c r="D313" s="23" t="n"/>
      <c r="E313" s="23" t="n"/>
      <c r="F313" s="23" t="n"/>
      <c r="G313" s="23">
        <f>IF(F313="","",IF(F313="All","Whole team",IFERROR(INDEX(Team!$B$5:$B$10,MATCH(F313,Team!$A$5:$A$10,0)),"")))</f>
        <v/>
      </c>
      <c r="H313" s="26" t="n"/>
      <c r="I313" s="26" t="n"/>
      <c r="J313" s="27" t="n"/>
      <c r="K313" s="28" t="n"/>
      <c r="L313" s="23" t="n"/>
      <c r="M313" s="23" t="n"/>
      <c r="N313" s="27" t="n"/>
      <c r="O313" s="29" t="n"/>
      <c r="P313" s="27" t="n"/>
      <c r="Q313" s="27" t="n"/>
      <c r="R313" s="23">
        <f>IF(OR(I313="",J313="Done"),"",IF(I313&lt;TODAY(),"OVERDUE",""))</f>
        <v/>
      </c>
      <c r="S313" s="23" t="n"/>
    </row>
    <row r="314">
      <c r="A314" s="23" t="n"/>
      <c r="B314" s="23" t="n"/>
      <c r="C314" s="23" t="n"/>
      <c r="D314" s="23" t="n"/>
      <c r="E314" s="23" t="n"/>
      <c r="F314" s="23" t="n"/>
      <c r="G314" s="23">
        <f>IF(F314="","",IF(F314="All","Whole team",IFERROR(INDEX(Team!$B$5:$B$10,MATCH(F314,Team!$A$5:$A$10,0)),"")))</f>
        <v/>
      </c>
      <c r="H314" s="26" t="n"/>
      <c r="I314" s="26" t="n"/>
      <c r="J314" s="27" t="n"/>
      <c r="K314" s="28" t="n"/>
      <c r="L314" s="23" t="n"/>
      <c r="M314" s="23" t="n"/>
      <c r="N314" s="27" t="n"/>
      <c r="O314" s="29" t="n"/>
      <c r="P314" s="27" t="n"/>
      <c r="Q314" s="27" t="n"/>
      <c r="R314" s="23">
        <f>IF(OR(I314="",J314="Done"),"",IF(I314&lt;TODAY(),"OVERDUE",""))</f>
        <v/>
      </c>
      <c r="S314" s="23" t="n"/>
    </row>
    <row r="315">
      <c r="A315" s="23" t="n"/>
      <c r="B315" s="23" t="n"/>
      <c r="C315" s="23" t="n"/>
      <c r="D315" s="23" t="n"/>
      <c r="E315" s="23" t="n"/>
      <c r="F315" s="23" t="n"/>
      <c r="G315" s="23">
        <f>IF(F315="","",IF(F315="All","Whole team",IFERROR(INDEX(Team!$B$5:$B$10,MATCH(F315,Team!$A$5:$A$10,0)),"")))</f>
        <v/>
      </c>
      <c r="H315" s="26" t="n"/>
      <c r="I315" s="26" t="n"/>
      <c r="J315" s="27" t="n"/>
      <c r="K315" s="28" t="n"/>
      <c r="L315" s="23" t="n"/>
      <c r="M315" s="23" t="n"/>
      <c r="N315" s="27" t="n"/>
      <c r="O315" s="29" t="n"/>
      <c r="P315" s="27" t="n"/>
      <c r="Q315" s="27" t="n"/>
      <c r="R315" s="23">
        <f>IF(OR(I315="",J315="Done"),"",IF(I315&lt;TODAY(),"OVERDUE",""))</f>
        <v/>
      </c>
      <c r="S315" s="23" t="n"/>
    </row>
    <row r="316">
      <c r="A316" s="23" t="n"/>
      <c r="B316" s="23" t="n"/>
      <c r="C316" s="23" t="n"/>
      <c r="D316" s="23" t="n"/>
      <c r="E316" s="23" t="n"/>
      <c r="F316" s="23" t="n"/>
      <c r="G316" s="23">
        <f>IF(F316="","",IF(F316="All","Whole team",IFERROR(INDEX(Team!$B$5:$B$10,MATCH(F316,Team!$A$5:$A$10,0)),"")))</f>
        <v/>
      </c>
      <c r="H316" s="26" t="n"/>
      <c r="I316" s="26" t="n"/>
      <c r="J316" s="27" t="n"/>
      <c r="K316" s="28" t="n"/>
      <c r="L316" s="23" t="n"/>
      <c r="M316" s="23" t="n"/>
      <c r="N316" s="27" t="n"/>
      <c r="O316" s="29" t="n"/>
      <c r="P316" s="27" t="n"/>
      <c r="Q316" s="27" t="n"/>
      <c r="R316" s="23">
        <f>IF(OR(I316="",J316="Done"),"",IF(I316&lt;TODAY(),"OVERDUE",""))</f>
        <v/>
      </c>
      <c r="S316" s="23" t="n"/>
    </row>
    <row r="317">
      <c r="A317" s="23" t="n"/>
      <c r="B317" s="23" t="n"/>
      <c r="C317" s="23" t="n"/>
      <c r="D317" s="23" t="n"/>
      <c r="E317" s="23" t="n"/>
      <c r="F317" s="23" t="n"/>
      <c r="G317" s="23">
        <f>IF(F317="","",IF(F317="All","Whole team",IFERROR(INDEX(Team!$B$5:$B$10,MATCH(F317,Team!$A$5:$A$10,0)),"")))</f>
        <v/>
      </c>
      <c r="H317" s="26" t="n"/>
      <c r="I317" s="26" t="n"/>
      <c r="J317" s="27" t="n"/>
      <c r="K317" s="28" t="n"/>
      <c r="L317" s="23" t="n"/>
      <c r="M317" s="23" t="n"/>
      <c r="N317" s="27" t="n"/>
      <c r="O317" s="29" t="n"/>
      <c r="P317" s="27" t="n"/>
      <c r="Q317" s="27" t="n"/>
      <c r="R317" s="23">
        <f>IF(OR(I317="",J317="Done"),"",IF(I317&lt;TODAY(),"OVERDUE",""))</f>
        <v/>
      </c>
      <c r="S317" s="23" t="n"/>
    </row>
    <row r="318">
      <c r="A318" s="23" t="n"/>
      <c r="B318" s="23" t="n"/>
      <c r="C318" s="23" t="n"/>
      <c r="D318" s="23" t="n"/>
      <c r="E318" s="23" t="n"/>
      <c r="F318" s="23" t="n"/>
      <c r="G318" s="23">
        <f>IF(F318="","",IF(F318="All","Whole team",IFERROR(INDEX(Team!$B$5:$B$10,MATCH(F318,Team!$A$5:$A$10,0)),"")))</f>
        <v/>
      </c>
      <c r="H318" s="26" t="n"/>
      <c r="I318" s="26" t="n"/>
      <c r="J318" s="27" t="n"/>
      <c r="K318" s="28" t="n"/>
      <c r="L318" s="23" t="n"/>
      <c r="M318" s="23" t="n"/>
      <c r="N318" s="27" t="n"/>
      <c r="O318" s="29" t="n"/>
      <c r="P318" s="27" t="n"/>
      <c r="Q318" s="27" t="n"/>
      <c r="R318" s="23">
        <f>IF(OR(I318="",J318="Done"),"",IF(I318&lt;TODAY(),"OVERDUE",""))</f>
        <v/>
      </c>
      <c r="S318" s="23" t="n"/>
    </row>
    <row r="319">
      <c r="A319" s="23" t="n"/>
      <c r="B319" s="23" t="n"/>
      <c r="C319" s="23" t="n"/>
      <c r="D319" s="23" t="n"/>
      <c r="E319" s="23" t="n"/>
      <c r="F319" s="23" t="n"/>
      <c r="G319" s="23">
        <f>IF(F319="","",IF(F319="All","Whole team",IFERROR(INDEX(Team!$B$5:$B$10,MATCH(F319,Team!$A$5:$A$10,0)),"")))</f>
        <v/>
      </c>
      <c r="H319" s="26" t="n"/>
      <c r="I319" s="26" t="n"/>
      <c r="J319" s="27" t="n"/>
      <c r="K319" s="28" t="n"/>
      <c r="L319" s="23" t="n"/>
      <c r="M319" s="23" t="n"/>
      <c r="N319" s="27" t="n"/>
      <c r="O319" s="29" t="n"/>
      <c r="P319" s="27" t="n"/>
      <c r="Q319" s="27" t="n"/>
      <c r="R319" s="23">
        <f>IF(OR(I319="",J319="Done"),"",IF(I319&lt;TODAY(),"OVERDUE",""))</f>
        <v/>
      </c>
      <c r="S319" s="23" t="n"/>
    </row>
    <row r="320">
      <c r="A320" s="23" t="n"/>
      <c r="B320" s="23" t="n"/>
      <c r="C320" s="23" t="n"/>
      <c r="D320" s="23" t="n"/>
      <c r="E320" s="23" t="n"/>
      <c r="F320" s="23" t="n"/>
      <c r="G320" s="23">
        <f>IF(F320="","",IF(F320="All","Whole team",IFERROR(INDEX(Team!$B$5:$B$10,MATCH(F320,Team!$A$5:$A$10,0)),"")))</f>
        <v/>
      </c>
      <c r="H320" s="26" t="n"/>
      <c r="I320" s="26" t="n"/>
      <c r="J320" s="27" t="n"/>
      <c r="K320" s="28" t="n"/>
      <c r="L320" s="23" t="n"/>
      <c r="M320" s="23" t="n"/>
      <c r="N320" s="27" t="n"/>
      <c r="O320" s="29" t="n"/>
      <c r="P320" s="27" t="n"/>
      <c r="Q320" s="27" t="n"/>
      <c r="R320" s="23">
        <f>IF(OR(I320="",J320="Done"),"",IF(I320&lt;TODAY(),"OVERDUE",""))</f>
        <v/>
      </c>
      <c r="S320" s="23" t="n"/>
    </row>
    <row r="321">
      <c r="A321" s="23" t="n"/>
      <c r="B321" s="23" t="n"/>
      <c r="C321" s="23" t="n"/>
      <c r="D321" s="23" t="n"/>
      <c r="E321" s="23" t="n"/>
      <c r="F321" s="23" t="n"/>
      <c r="G321" s="23">
        <f>IF(F321="","",IF(F321="All","Whole team",IFERROR(INDEX(Team!$B$5:$B$10,MATCH(F321,Team!$A$5:$A$10,0)),"")))</f>
        <v/>
      </c>
      <c r="H321" s="26" t="n"/>
      <c r="I321" s="26" t="n"/>
      <c r="J321" s="27" t="n"/>
      <c r="K321" s="28" t="n"/>
      <c r="L321" s="23" t="n"/>
      <c r="M321" s="23" t="n"/>
      <c r="N321" s="27" t="n"/>
      <c r="O321" s="29" t="n"/>
      <c r="P321" s="27" t="n"/>
      <c r="Q321" s="27" t="n"/>
      <c r="R321" s="23">
        <f>IF(OR(I321="",J321="Done"),"",IF(I321&lt;TODAY(),"OVERDUE",""))</f>
        <v/>
      </c>
      <c r="S321" s="23" t="n"/>
    </row>
    <row r="322">
      <c r="A322" s="23" t="n"/>
      <c r="B322" s="23" t="n"/>
      <c r="C322" s="23" t="n"/>
      <c r="D322" s="23" t="n"/>
      <c r="E322" s="23" t="n"/>
      <c r="F322" s="23" t="n"/>
      <c r="G322" s="23">
        <f>IF(F322="","",IF(F322="All","Whole team",IFERROR(INDEX(Team!$B$5:$B$10,MATCH(F322,Team!$A$5:$A$10,0)),"")))</f>
        <v/>
      </c>
      <c r="H322" s="26" t="n"/>
      <c r="I322" s="26" t="n"/>
      <c r="J322" s="27" t="n"/>
      <c r="K322" s="28" t="n"/>
      <c r="L322" s="23" t="n"/>
      <c r="M322" s="23" t="n"/>
      <c r="N322" s="27" t="n"/>
      <c r="O322" s="29" t="n"/>
      <c r="P322" s="27" t="n"/>
      <c r="Q322" s="27" t="n"/>
      <c r="R322" s="23">
        <f>IF(OR(I322="",J322="Done"),"",IF(I322&lt;TODAY(),"OVERDUE",""))</f>
        <v/>
      </c>
      <c r="S322" s="23" t="n"/>
    </row>
    <row r="323">
      <c r="A323" s="23" t="n"/>
      <c r="B323" s="23" t="n"/>
      <c r="C323" s="23" t="n"/>
      <c r="D323" s="23" t="n"/>
      <c r="E323" s="23" t="n"/>
      <c r="F323" s="23" t="n"/>
      <c r="G323" s="23">
        <f>IF(F323="","",IF(F323="All","Whole team",IFERROR(INDEX(Team!$B$5:$B$10,MATCH(F323,Team!$A$5:$A$10,0)),"")))</f>
        <v/>
      </c>
      <c r="H323" s="26" t="n"/>
      <c r="I323" s="26" t="n"/>
      <c r="J323" s="27" t="n"/>
      <c r="K323" s="28" t="n"/>
      <c r="L323" s="23" t="n"/>
      <c r="M323" s="23" t="n"/>
      <c r="N323" s="27" t="n"/>
      <c r="O323" s="29" t="n"/>
      <c r="P323" s="27" t="n"/>
      <c r="Q323" s="27" t="n"/>
      <c r="R323" s="23">
        <f>IF(OR(I323="",J323="Done"),"",IF(I323&lt;TODAY(),"OVERDUE",""))</f>
        <v/>
      </c>
      <c r="S323" s="23" t="n"/>
    </row>
    <row r="324">
      <c r="A324" s="23" t="n"/>
      <c r="B324" s="23" t="n"/>
      <c r="C324" s="23" t="n"/>
      <c r="D324" s="23" t="n"/>
      <c r="E324" s="23" t="n"/>
      <c r="F324" s="23" t="n"/>
      <c r="G324" s="23">
        <f>IF(F324="","",IF(F324="All","Whole team",IFERROR(INDEX(Team!$B$5:$B$10,MATCH(F324,Team!$A$5:$A$10,0)),"")))</f>
        <v/>
      </c>
      <c r="H324" s="26" t="n"/>
      <c r="I324" s="26" t="n"/>
      <c r="J324" s="27" t="n"/>
      <c r="K324" s="28" t="n"/>
      <c r="L324" s="23" t="n"/>
      <c r="M324" s="23" t="n"/>
      <c r="N324" s="27" t="n"/>
      <c r="O324" s="29" t="n"/>
      <c r="P324" s="27" t="n"/>
      <c r="Q324" s="27" t="n"/>
      <c r="R324" s="23">
        <f>IF(OR(I324="",J324="Done"),"",IF(I324&lt;TODAY(),"OVERDUE",""))</f>
        <v/>
      </c>
      <c r="S324" s="23" t="n"/>
    </row>
    <row r="325">
      <c r="A325" s="23" t="n"/>
      <c r="B325" s="23" t="n"/>
      <c r="C325" s="23" t="n"/>
      <c r="D325" s="23" t="n"/>
      <c r="E325" s="23" t="n"/>
      <c r="F325" s="23" t="n"/>
      <c r="G325" s="23">
        <f>IF(F325="","",IF(F325="All","Whole team",IFERROR(INDEX(Team!$B$5:$B$10,MATCH(F325,Team!$A$5:$A$10,0)),"")))</f>
        <v/>
      </c>
      <c r="H325" s="26" t="n"/>
      <c r="I325" s="26" t="n"/>
      <c r="J325" s="27" t="n"/>
      <c r="K325" s="28" t="n"/>
      <c r="L325" s="23" t="n"/>
      <c r="M325" s="23" t="n"/>
      <c r="N325" s="27" t="n"/>
      <c r="O325" s="29" t="n"/>
      <c r="P325" s="27" t="n"/>
      <c r="Q325" s="27" t="n"/>
      <c r="R325" s="23">
        <f>IF(OR(I325="",J325="Done"),"",IF(I325&lt;TODAY(),"OVERDUE",""))</f>
        <v/>
      </c>
      <c r="S325" s="23" t="n"/>
    </row>
    <row r="326">
      <c r="A326" s="23" t="n"/>
      <c r="B326" s="23" t="n"/>
      <c r="C326" s="23" t="n"/>
      <c r="D326" s="23" t="n"/>
      <c r="E326" s="23" t="n"/>
      <c r="F326" s="23" t="n"/>
      <c r="G326" s="23">
        <f>IF(F326="","",IF(F326="All","Whole team",IFERROR(INDEX(Team!$B$5:$B$10,MATCH(F326,Team!$A$5:$A$10,0)),"")))</f>
        <v/>
      </c>
      <c r="H326" s="26" t="n"/>
      <c r="I326" s="26" t="n"/>
      <c r="J326" s="27" t="n"/>
      <c r="K326" s="28" t="n"/>
      <c r="L326" s="23" t="n"/>
      <c r="M326" s="23" t="n"/>
      <c r="N326" s="27" t="n"/>
      <c r="O326" s="29" t="n"/>
      <c r="P326" s="27" t="n"/>
      <c r="Q326" s="27" t="n"/>
      <c r="R326" s="23">
        <f>IF(OR(I326="",J326="Done"),"",IF(I326&lt;TODAY(),"OVERDUE",""))</f>
        <v/>
      </c>
      <c r="S326" s="23" t="n"/>
    </row>
    <row r="327">
      <c r="A327" s="23" t="n"/>
      <c r="B327" s="23" t="n"/>
      <c r="C327" s="23" t="n"/>
      <c r="D327" s="23" t="n"/>
      <c r="E327" s="23" t="n"/>
      <c r="F327" s="23" t="n"/>
      <c r="G327" s="23">
        <f>IF(F327="","",IF(F327="All","Whole team",IFERROR(INDEX(Team!$B$5:$B$10,MATCH(F327,Team!$A$5:$A$10,0)),"")))</f>
        <v/>
      </c>
      <c r="H327" s="26" t="n"/>
      <c r="I327" s="26" t="n"/>
      <c r="J327" s="27" t="n"/>
      <c r="K327" s="28" t="n"/>
      <c r="L327" s="23" t="n"/>
      <c r="M327" s="23" t="n"/>
      <c r="N327" s="27" t="n"/>
      <c r="O327" s="29" t="n"/>
      <c r="P327" s="27" t="n"/>
      <c r="Q327" s="27" t="n"/>
      <c r="R327" s="23">
        <f>IF(OR(I327="",J327="Done"),"",IF(I327&lt;TODAY(),"OVERDUE",""))</f>
        <v/>
      </c>
      <c r="S327" s="23" t="n"/>
    </row>
    <row r="328">
      <c r="A328" s="23" t="n"/>
      <c r="B328" s="23" t="n"/>
      <c r="C328" s="23" t="n"/>
      <c r="D328" s="23" t="n"/>
      <c r="E328" s="23" t="n"/>
      <c r="F328" s="23" t="n"/>
      <c r="G328" s="23">
        <f>IF(F328="","",IF(F328="All","Whole team",IFERROR(INDEX(Team!$B$5:$B$10,MATCH(F328,Team!$A$5:$A$10,0)),"")))</f>
        <v/>
      </c>
      <c r="H328" s="26" t="n"/>
      <c r="I328" s="26" t="n"/>
      <c r="J328" s="27" t="n"/>
      <c r="K328" s="28" t="n"/>
      <c r="L328" s="23" t="n"/>
      <c r="M328" s="23" t="n"/>
      <c r="N328" s="27" t="n"/>
      <c r="O328" s="29" t="n"/>
      <c r="P328" s="27" t="n"/>
      <c r="Q328" s="27" t="n"/>
      <c r="R328" s="23">
        <f>IF(OR(I328="",J328="Done"),"",IF(I328&lt;TODAY(),"OVERDUE",""))</f>
        <v/>
      </c>
      <c r="S328" s="23" t="n"/>
    </row>
    <row r="329">
      <c r="A329" s="23" t="n"/>
      <c r="B329" s="23" t="n"/>
      <c r="C329" s="23" t="n"/>
      <c r="D329" s="23" t="n"/>
      <c r="E329" s="23" t="n"/>
      <c r="F329" s="23" t="n"/>
      <c r="G329" s="23">
        <f>IF(F329="","",IF(F329="All","Whole team",IFERROR(INDEX(Team!$B$5:$B$10,MATCH(F329,Team!$A$5:$A$10,0)),"")))</f>
        <v/>
      </c>
      <c r="H329" s="26" t="n"/>
      <c r="I329" s="26" t="n"/>
      <c r="J329" s="27" t="n"/>
      <c r="K329" s="28" t="n"/>
      <c r="L329" s="23" t="n"/>
      <c r="M329" s="23" t="n"/>
      <c r="N329" s="27" t="n"/>
      <c r="O329" s="29" t="n"/>
      <c r="P329" s="27" t="n"/>
      <c r="Q329" s="27" t="n"/>
      <c r="R329" s="23">
        <f>IF(OR(I329="",J329="Done"),"",IF(I329&lt;TODAY(),"OVERDUE",""))</f>
        <v/>
      </c>
      <c r="S329" s="23" t="n"/>
    </row>
    <row r="330">
      <c r="A330" s="23" t="n"/>
      <c r="B330" s="23" t="n"/>
      <c r="C330" s="23" t="n"/>
      <c r="D330" s="23" t="n"/>
      <c r="E330" s="23" t="n"/>
      <c r="F330" s="23" t="n"/>
      <c r="G330" s="23">
        <f>IF(F330="","",IF(F330="All","Whole team",IFERROR(INDEX(Team!$B$5:$B$10,MATCH(F330,Team!$A$5:$A$10,0)),"")))</f>
        <v/>
      </c>
      <c r="H330" s="26" t="n"/>
      <c r="I330" s="26" t="n"/>
      <c r="J330" s="27" t="n"/>
      <c r="K330" s="28" t="n"/>
      <c r="L330" s="23" t="n"/>
      <c r="M330" s="23" t="n"/>
      <c r="N330" s="27" t="n"/>
      <c r="O330" s="29" t="n"/>
      <c r="P330" s="27" t="n"/>
      <c r="Q330" s="27" t="n"/>
      <c r="R330" s="23">
        <f>IF(OR(I330="",J330="Done"),"",IF(I330&lt;TODAY(),"OVERDUE",""))</f>
        <v/>
      </c>
      <c r="S330" s="23" t="n"/>
    </row>
    <row r="331">
      <c r="A331" s="23" t="n"/>
      <c r="B331" s="23" t="n"/>
      <c r="C331" s="23" t="n"/>
      <c r="D331" s="23" t="n"/>
      <c r="E331" s="23" t="n"/>
      <c r="F331" s="23" t="n"/>
      <c r="G331" s="23">
        <f>IF(F331="","",IF(F331="All","Whole team",IFERROR(INDEX(Team!$B$5:$B$10,MATCH(F331,Team!$A$5:$A$10,0)),"")))</f>
        <v/>
      </c>
      <c r="H331" s="26" t="n"/>
      <c r="I331" s="26" t="n"/>
      <c r="J331" s="27" t="n"/>
      <c r="K331" s="28" t="n"/>
      <c r="L331" s="23" t="n"/>
      <c r="M331" s="23" t="n"/>
      <c r="N331" s="27" t="n"/>
      <c r="O331" s="29" t="n"/>
      <c r="P331" s="27" t="n"/>
      <c r="Q331" s="27" t="n"/>
      <c r="R331" s="23">
        <f>IF(OR(I331="",J331="Done"),"",IF(I331&lt;TODAY(),"OVERDUE",""))</f>
        <v/>
      </c>
      <c r="S331" s="23" t="n"/>
    </row>
    <row r="332">
      <c r="A332" s="23" t="n"/>
      <c r="B332" s="23" t="n"/>
      <c r="C332" s="23" t="n"/>
      <c r="D332" s="23" t="n"/>
      <c r="E332" s="23" t="n"/>
      <c r="F332" s="23" t="n"/>
      <c r="G332" s="23">
        <f>IF(F332="","",IF(F332="All","Whole team",IFERROR(INDEX(Team!$B$5:$B$10,MATCH(F332,Team!$A$5:$A$10,0)),"")))</f>
        <v/>
      </c>
      <c r="H332" s="26" t="n"/>
      <c r="I332" s="26" t="n"/>
      <c r="J332" s="27" t="n"/>
      <c r="K332" s="28" t="n"/>
      <c r="L332" s="23" t="n"/>
      <c r="M332" s="23" t="n"/>
      <c r="N332" s="27" t="n"/>
      <c r="O332" s="29" t="n"/>
      <c r="P332" s="27" t="n"/>
      <c r="Q332" s="27" t="n"/>
      <c r="R332" s="23">
        <f>IF(OR(I332="",J332="Done"),"",IF(I332&lt;TODAY(),"OVERDUE",""))</f>
        <v/>
      </c>
      <c r="S332" s="23" t="n"/>
    </row>
    <row r="333">
      <c r="A333" s="23" t="n"/>
      <c r="B333" s="23" t="n"/>
      <c r="C333" s="23" t="n"/>
      <c r="D333" s="23" t="n"/>
      <c r="E333" s="23" t="n"/>
      <c r="F333" s="23" t="n"/>
      <c r="G333" s="23">
        <f>IF(F333="","",IF(F333="All","Whole team",IFERROR(INDEX(Team!$B$5:$B$10,MATCH(F333,Team!$A$5:$A$10,0)),"")))</f>
        <v/>
      </c>
      <c r="H333" s="26" t="n"/>
      <c r="I333" s="26" t="n"/>
      <c r="J333" s="27" t="n"/>
      <c r="K333" s="28" t="n"/>
      <c r="L333" s="23" t="n"/>
      <c r="M333" s="23" t="n"/>
      <c r="N333" s="27" t="n"/>
      <c r="O333" s="29" t="n"/>
      <c r="P333" s="27" t="n"/>
      <c r="Q333" s="27" t="n"/>
      <c r="R333" s="23">
        <f>IF(OR(I333="",J333="Done"),"",IF(I333&lt;TODAY(),"OVERDUE",""))</f>
        <v/>
      </c>
      <c r="S333" s="23" t="n"/>
    </row>
    <row r="334">
      <c r="A334" s="23" t="n"/>
      <c r="B334" s="23" t="n"/>
      <c r="C334" s="23" t="n"/>
      <c r="D334" s="23" t="n"/>
      <c r="E334" s="23" t="n"/>
      <c r="F334" s="23" t="n"/>
      <c r="G334" s="23">
        <f>IF(F334="","",IF(F334="All","Whole team",IFERROR(INDEX(Team!$B$5:$B$10,MATCH(F334,Team!$A$5:$A$10,0)),"")))</f>
        <v/>
      </c>
      <c r="H334" s="26" t="n"/>
      <c r="I334" s="26" t="n"/>
      <c r="J334" s="27" t="n"/>
      <c r="K334" s="28" t="n"/>
      <c r="L334" s="23" t="n"/>
      <c r="M334" s="23" t="n"/>
      <c r="N334" s="27" t="n"/>
      <c r="O334" s="29" t="n"/>
      <c r="P334" s="27" t="n"/>
      <c r="Q334" s="27" t="n"/>
      <c r="R334" s="23">
        <f>IF(OR(I334="",J334="Done"),"",IF(I334&lt;TODAY(),"OVERDUE",""))</f>
        <v/>
      </c>
      <c r="S334" s="23" t="n"/>
    </row>
    <row r="335">
      <c r="A335" s="23" t="n"/>
      <c r="B335" s="23" t="n"/>
      <c r="C335" s="23" t="n"/>
      <c r="D335" s="23" t="n"/>
      <c r="E335" s="23" t="n"/>
      <c r="F335" s="23" t="n"/>
      <c r="G335" s="23">
        <f>IF(F335="","",IF(F335="All","Whole team",IFERROR(INDEX(Team!$B$5:$B$10,MATCH(F335,Team!$A$5:$A$10,0)),"")))</f>
        <v/>
      </c>
      <c r="H335" s="26" t="n"/>
      <c r="I335" s="26" t="n"/>
      <c r="J335" s="27" t="n"/>
      <c r="K335" s="28" t="n"/>
      <c r="L335" s="23" t="n"/>
      <c r="M335" s="23" t="n"/>
      <c r="N335" s="27" t="n"/>
      <c r="O335" s="29" t="n"/>
      <c r="P335" s="27" t="n"/>
      <c r="Q335" s="27" t="n"/>
      <c r="R335" s="23">
        <f>IF(OR(I335="",J335="Done"),"",IF(I335&lt;TODAY(),"OVERDUE",""))</f>
        <v/>
      </c>
      <c r="S335" s="23" t="n"/>
    </row>
    <row r="336">
      <c r="A336" s="23" t="n"/>
      <c r="B336" s="23" t="n"/>
      <c r="C336" s="23" t="n"/>
      <c r="D336" s="23" t="n"/>
      <c r="E336" s="23" t="n"/>
      <c r="F336" s="23" t="n"/>
      <c r="G336" s="23">
        <f>IF(F336="","",IF(F336="All","Whole team",IFERROR(INDEX(Team!$B$5:$B$10,MATCH(F336,Team!$A$5:$A$10,0)),"")))</f>
        <v/>
      </c>
      <c r="H336" s="26" t="n"/>
      <c r="I336" s="26" t="n"/>
      <c r="J336" s="27" t="n"/>
      <c r="K336" s="28" t="n"/>
      <c r="L336" s="23" t="n"/>
      <c r="M336" s="23" t="n"/>
      <c r="N336" s="27" t="n"/>
      <c r="O336" s="29" t="n"/>
      <c r="P336" s="27" t="n"/>
      <c r="Q336" s="27" t="n"/>
      <c r="R336" s="23">
        <f>IF(OR(I336="",J336="Done"),"",IF(I336&lt;TODAY(),"OVERDUE",""))</f>
        <v/>
      </c>
      <c r="S336" s="23" t="n"/>
    </row>
    <row r="337">
      <c r="A337" s="23" t="n"/>
      <c r="B337" s="23" t="n"/>
      <c r="C337" s="23" t="n"/>
      <c r="D337" s="23" t="n"/>
      <c r="E337" s="23" t="n"/>
      <c r="F337" s="23" t="n"/>
      <c r="G337" s="23">
        <f>IF(F337="","",IF(F337="All","Whole team",IFERROR(INDEX(Team!$B$5:$B$10,MATCH(F337,Team!$A$5:$A$10,0)),"")))</f>
        <v/>
      </c>
      <c r="H337" s="26" t="n"/>
      <c r="I337" s="26" t="n"/>
      <c r="J337" s="27" t="n"/>
      <c r="K337" s="28" t="n"/>
      <c r="L337" s="23" t="n"/>
      <c r="M337" s="23" t="n"/>
      <c r="N337" s="27" t="n"/>
      <c r="O337" s="29" t="n"/>
      <c r="P337" s="27" t="n"/>
      <c r="Q337" s="27" t="n"/>
      <c r="R337" s="23">
        <f>IF(OR(I337="",J337="Done"),"",IF(I337&lt;TODAY(),"OVERDUE",""))</f>
        <v/>
      </c>
      <c r="S337" s="23" t="n"/>
    </row>
    <row r="338">
      <c r="A338" s="23" t="n"/>
      <c r="B338" s="23" t="n"/>
      <c r="C338" s="23" t="n"/>
      <c r="D338" s="23" t="n"/>
      <c r="E338" s="23" t="n"/>
      <c r="F338" s="23" t="n"/>
      <c r="G338" s="23">
        <f>IF(F338="","",IF(F338="All","Whole team",IFERROR(INDEX(Team!$B$5:$B$10,MATCH(F338,Team!$A$5:$A$10,0)),"")))</f>
        <v/>
      </c>
      <c r="H338" s="26" t="n"/>
      <c r="I338" s="26" t="n"/>
      <c r="J338" s="27" t="n"/>
      <c r="K338" s="28" t="n"/>
      <c r="L338" s="23" t="n"/>
      <c r="M338" s="23" t="n"/>
      <c r="N338" s="27" t="n"/>
      <c r="O338" s="29" t="n"/>
      <c r="P338" s="27" t="n"/>
      <c r="Q338" s="27" t="n"/>
      <c r="R338" s="23">
        <f>IF(OR(I338="",J338="Done"),"",IF(I338&lt;TODAY(),"OVERDUE",""))</f>
        <v/>
      </c>
      <c r="S338" s="23" t="n"/>
    </row>
    <row r="339">
      <c r="A339" s="23" t="n"/>
      <c r="B339" s="23" t="n"/>
      <c r="C339" s="23" t="n"/>
      <c r="D339" s="23" t="n"/>
      <c r="E339" s="23" t="n"/>
      <c r="F339" s="23" t="n"/>
      <c r="G339" s="23">
        <f>IF(F339="","",IF(F339="All","Whole team",IFERROR(INDEX(Team!$B$5:$B$10,MATCH(F339,Team!$A$5:$A$10,0)),"")))</f>
        <v/>
      </c>
      <c r="H339" s="26" t="n"/>
      <c r="I339" s="26" t="n"/>
      <c r="J339" s="27" t="n"/>
      <c r="K339" s="28" t="n"/>
      <c r="L339" s="23" t="n"/>
      <c r="M339" s="23" t="n"/>
      <c r="N339" s="27" t="n"/>
      <c r="O339" s="29" t="n"/>
      <c r="P339" s="27" t="n"/>
      <c r="Q339" s="27" t="n"/>
      <c r="R339" s="23">
        <f>IF(OR(I339="",J339="Done"),"",IF(I339&lt;TODAY(),"OVERDUE",""))</f>
        <v/>
      </c>
      <c r="S339" s="23" t="n"/>
    </row>
    <row r="340">
      <c r="A340" s="23" t="n"/>
      <c r="B340" s="23" t="n"/>
      <c r="C340" s="23" t="n"/>
      <c r="D340" s="23" t="n"/>
      <c r="E340" s="23" t="n"/>
      <c r="F340" s="23" t="n"/>
      <c r="G340" s="23">
        <f>IF(F340="","",IF(F340="All","Whole team",IFERROR(INDEX(Team!$B$5:$B$10,MATCH(F340,Team!$A$5:$A$10,0)),"")))</f>
        <v/>
      </c>
      <c r="H340" s="26" t="n"/>
      <c r="I340" s="26" t="n"/>
      <c r="J340" s="27" t="n"/>
      <c r="K340" s="28" t="n"/>
      <c r="L340" s="23" t="n"/>
      <c r="M340" s="23" t="n"/>
      <c r="N340" s="27" t="n"/>
      <c r="O340" s="29" t="n"/>
      <c r="P340" s="27" t="n"/>
      <c r="Q340" s="27" t="n"/>
      <c r="R340" s="23">
        <f>IF(OR(I340="",J340="Done"),"",IF(I340&lt;TODAY(),"OVERDUE",""))</f>
        <v/>
      </c>
      <c r="S340" s="23" t="n"/>
    </row>
    <row r="341">
      <c r="A341" s="23" t="n"/>
      <c r="B341" s="23" t="n"/>
      <c r="C341" s="23" t="n"/>
      <c r="D341" s="23" t="n"/>
      <c r="E341" s="23" t="n"/>
      <c r="F341" s="23" t="n"/>
      <c r="G341" s="23">
        <f>IF(F341="","",IF(F341="All","Whole team",IFERROR(INDEX(Team!$B$5:$B$10,MATCH(F341,Team!$A$5:$A$10,0)),"")))</f>
        <v/>
      </c>
      <c r="H341" s="26" t="n"/>
      <c r="I341" s="26" t="n"/>
      <c r="J341" s="27" t="n"/>
      <c r="K341" s="28" t="n"/>
      <c r="L341" s="23" t="n"/>
      <c r="M341" s="23" t="n"/>
      <c r="N341" s="27" t="n"/>
      <c r="O341" s="29" t="n"/>
      <c r="P341" s="27" t="n"/>
      <c r="Q341" s="27" t="n"/>
      <c r="R341" s="23">
        <f>IF(OR(I341="",J341="Done"),"",IF(I341&lt;TODAY(),"OVERDUE",""))</f>
        <v/>
      </c>
      <c r="S341" s="23" t="n"/>
    </row>
    <row r="342">
      <c r="A342" s="23" t="n"/>
      <c r="B342" s="23" t="n"/>
      <c r="C342" s="23" t="n"/>
      <c r="D342" s="23" t="n"/>
      <c r="E342" s="23" t="n"/>
      <c r="F342" s="23" t="n"/>
      <c r="G342" s="23">
        <f>IF(F342="","",IF(F342="All","Whole team",IFERROR(INDEX(Team!$B$5:$B$10,MATCH(F342,Team!$A$5:$A$10,0)),"")))</f>
        <v/>
      </c>
      <c r="H342" s="26" t="n"/>
      <c r="I342" s="26" t="n"/>
      <c r="J342" s="27" t="n"/>
      <c r="K342" s="28" t="n"/>
      <c r="L342" s="23" t="n"/>
      <c r="M342" s="23" t="n"/>
      <c r="N342" s="27" t="n"/>
      <c r="O342" s="29" t="n"/>
      <c r="P342" s="27" t="n"/>
      <c r="Q342" s="27" t="n"/>
      <c r="R342" s="23">
        <f>IF(OR(I342="",J342="Done"),"",IF(I342&lt;TODAY(),"OVERDUE",""))</f>
        <v/>
      </c>
      <c r="S342" s="23" t="n"/>
    </row>
    <row r="343">
      <c r="A343" s="23" t="n"/>
      <c r="B343" s="23" t="n"/>
      <c r="C343" s="23" t="n"/>
      <c r="D343" s="23" t="n"/>
      <c r="E343" s="23" t="n"/>
      <c r="F343" s="23" t="n"/>
      <c r="G343" s="23">
        <f>IF(F343="","",IF(F343="All","Whole team",IFERROR(INDEX(Team!$B$5:$B$10,MATCH(F343,Team!$A$5:$A$10,0)),"")))</f>
        <v/>
      </c>
      <c r="H343" s="26" t="n"/>
      <c r="I343" s="26" t="n"/>
      <c r="J343" s="27" t="n"/>
      <c r="K343" s="28" t="n"/>
      <c r="L343" s="23" t="n"/>
      <c r="M343" s="23" t="n"/>
      <c r="N343" s="27" t="n"/>
      <c r="O343" s="29" t="n"/>
      <c r="P343" s="27" t="n"/>
      <c r="Q343" s="27" t="n"/>
      <c r="R343" s="23">
        <f>IF(OR(I343="",J343="Done"),"",IF(I343&lt;TODAY(),"OVERDUE",""))</f>
        <v/>
      </c>
      <c r="S343" s="23" t="n"/>
    </row>
    <row r="344">
      <c r="A344" s="23" t="n"/>
      <c r="B344" s="23" t="n"/>
      <c r="C344" s="23" t="n"/>
      <c r="D344" s="23" t="n"/>
      <c r="E344" s="23" t="n"/>
      <c r="F344" s="23" t="n"/>
      <c r="G344" s="23">
        <f>IF(F344="","",IF(F344="All","Whole team",IFERROR(INDEX(Team!$B$5:$B$10,MATCH(F344,Team!$A$5:$A$10,0)),"")))</f>
        <v/>
      </c>
      <c r="H344" s="26" t="n"/>
      <c r="I344" s="26" t="n"/>
      <c r="J344" s="27" t="n"/>
      <c r="K344" s="28" t="n"/>
      <c r="L344" s="23" t="n"/>
      <c r="M344" s="23" t="n"/>
      <c r="N344" s="27" t="n"/>
      <c r="O344" s="29" t="n"/>
      <c r="P344" s="27" t="n"/>
      <c r="Q344" s="27" t="n"/>
      <c r="R344" s="23">
        <f>IF(OR(I344="",J344="Done"),"",IF(I344&lt;TODAY(),"OVERDUE",""))</f>
        <v/>
      </c>
      <c r="S344" s="23" t="n"/>
    </row>
    <row r="345">
      <c r="A345" s="23" t="n"/>
      <c r="B345" s="23" t="n"/>
      <c r="C345" s="23" t="n"/>
      <c r="D345" s="23" t="n"/>
      <c r="E345" s="23" t="n"/>
      <c r="F345" s="23" t="n"/>
      <c r="G345" s="23">
        <f>IF(F345="","",IF(F345="All","Whole team",IFERROR(INDEX(Team!$B$5:$B$10,MATCH(F345,Team!$A$5:$A$10,0)),"")))</f>
        <v/>
      </c>
      <c r="H345" s="26" t="n"/>
      <c r="I345" s="26" t="n"/>
      <c r="J345" s="27" t="n"/>
      <c r="K345" s="28" t="n"/>
      <c r="L345" s="23" t="n"/>
      <c r="M345" s="23" t="n"/>
      <c r="N345" s="27" t="n"/>
      <c r="O345" s="29" t="n"/>
      <c r="P345" s="27" t="n"/>
      <c r="Q345" s="27" t="n"/>
      <c r="R345" s="23">
        <f>IF(OR(I345="",J345="Done"),"",IF(I345&lt;TODAY(),"OVERDUE",""))</f>
        <v/>
      </c>
      <c r="S345" s="23" t="n"/>
    </row>
    <row r="346">
      <c r="A346" s="23" t="n"/>
      <c r="B346" s="23" t="n"/>
      <c r="C346" s="23" t="n"/>
      <c r="D346" s="23" t="n"/>
      <c r="E346" s="23" t="n"/>
      <c r="F346" s="23" t="n"/>
      <c r="G346" s="23">
        <f>IF(F346="","",IF(F346="All","Whole team",IFERROR(INDEX(Team!$B$5:$B$10,MATCH(F346,Team!$A$5:$A$10,0)),"")))</f>
        <v/>
      </c>
      <c r="H346" s="26" t="n"/>
      <c r="I346" s="26" t="n"/>
      <c r="J346" s="27" t="n"/>
      <c r="K346" s="28" t="n"/>
      <c r="L346" s="23" t="n"/>
      <c r="M346" s="23" t="n"/>
      <c r="N346" s="27" t="n"/>
      <c r="O346" s="29" t="n"/>
      <c r="P346" s="27" t="n"/>
      <c r="Q346" s="27" t="n"/>
      <c r="R346" s="23">
        <f>IF(OR(I346="",J346="Done"),"",IF(I346&lt;TODAY(),"OVERDUE",""))</f>
        <v/>
      </c>
      <c r="S346" s="23" t="n"/>
    </row>
    <row r="347">
      <c r="A347" s="23" t="n"/>
      <c r="B347" s="23" t="n"/>
      <c r="C347" s="23" t="n"/>
      <c r="D347" s="23" t="n"/>
      <c r="E347" s="23" t="n"/>
      <c r="F347" s="23" t="n"/>
      <c r="G347" s="23">
        <f>IF(F347="","",IF(F347="All","Whole team",IFERROR(INDEX(Team!$B$5:$B$10,MATCH(F347,Team!$A$5:$A$10,0)),"")))</f>
        <v/>
      </c>
      <c r="H347" s="26" t="n"/>
      <c r="I347" s="26" t="n"/>
      <c r="J347" s="27" t="n"/>
      <c r="K347" s="28" t="n"/>
      <c r="L347" s="23" t="n"/>
      <c r="M347" s="23" t="n"/>
      <c r="N347" s="27" t="n"/>
      <c r="O347" s="29" t="n"/>
      <c r="P347" s="27" t="n"/>
      <c r="Q347" s="27" t="n"/>
      <c r="R347" s="23">
        <f>IF(OR(I347="",J347="Done"),"",IF(I347&lt;TODAY(),"OVERDUE",""))</f>
        <v/>
      </c>
      <c r="S347" s="23" t="n"/>
    </row>
    <row r="348">
      <c r="A348" s="23" t="n"/>
      <c r="B348" s="23" t="n"/>
      <c r="C348" s="23" t="n"/>
      <c r="D348" s="23" t="n"/>
      <c r="E348" s="23" t="n"/>
      <c r="F348" s="23" t="n"/>
      <c r="G348" s="23">
        <f>IF(F348="","",IF(F348="All","Whole team",IFERROR(INDEX(Team!$B$5:$B$10,MATCH(F348,Team!$A$5:$A$10,0)),"")))</f>
        <v/>
      </c>
      <c r="H348" s="26" t="n"/>
      <c r="I348" s="26" t="n"/>
      <c r="J348" s="27" t="n"/>
      <c r="K348" s="28" t="n"/>
      <c r="L348" s="23" t="n"/>
      <c r="M348" s="23" t="n"/>
      <c r="N348" s="27" t="n"/>
      <c r="O348" s="29" t="n"/>
      <c r="P348" s="27" t="n"/>
      <c r="Q348" s="27" t="n"/>
      <c r="R348" s="23">
        <f>IF(OR(I348="",J348="Done"),"",IF(I348&lt;TODAY(),"OVERDUE",""))</f>
        <v/>
      </c>
      <c r="S348" s="23" t="n"/>
    </row>
    <row r="349">
      <c r="A349" s="23" t="n"/>
      <c r="B349" s="23" t="n"/>
      <c r="C349" s="23" t="n"/>
      <c r="D349" s="23" t="n"/>
      <c r="E349" s="23" t="n"/>
      <c r="F349" s="23" t="n"/>
      <c r="G349" s="23">
        <f>IF(F349="","",IF(F349="All","Whole team",IFERROR(INDEX(Team!$B$5:$B$10,MATCH(F349,Team!$A$5:$A$10,0)),"")))</f>
        <v/>
      </c>
      <c r="H349" s="26" t="n"/>
      <c r="I349" s="26" t="n"/>
      <c r="J349" s="27" t="n"/>
      <c r="K349" s="28" t="n"/>
      <c r="L349" s="23" t="n"/>
      <c r="M349" s="23" t="n"/>
      <c r="N349" s="27" t="n"/>
      <c r="O349" s="29" t="n"/>
      <c r="P349" s="27" t="n"/>
      <c r="Q349" s="27" t="n"/>
      <c r="R349" s="23">
        <f>IF(OR(I349="",J349="Done"),"",IF(I349&lt;TODAY(),"OVERDUE",""))</f>
        <v/>
      </c>
      <c r="S349" s="23" t="n"/>
    </row>
    <row r="350">
      <c r="A350" s="23" t="n"/>
      <c r="B350" s="23" t="n"/>
      <c r="C350" s="23" t="n"/>
      <c r="D350" s="23" t="n"/>
      <c r="E350" s="23" t="n"/>
      <c r="F350" s="23" t="n"/>
      <c r="G350" s="23">
        <f>IF(F350="","",IF(F350="All","Whole team",IFERROR(INDEX(Team!$B$5:$B$10,MATCH(F350,Team!$A$5:$A$10,0)),"")))</f>
        <v/>
      </c>
      <c r="H350" s="26" t="n"/>
      <c r="I350" s="26" t="n"/>
      <c r="J350" s="27" t="n"/>
      <c r="K350" s="28" t="n"/>
      <c r="L350" s="23" t="n"/>
      <c r="M350" s="23" t="n"/>
      <c r="N350" s="27" t="n"/>
      <c r="O350" s="29" t="n"/>
      <c r="P350" s="27" t="n"/>
      <c r="Q350" s="27" t="n"/>
      <c r="R350" s="23">
        <f>IF(OR(I350="",J350="Done"),"",IF(I350&lt;TODAY(),"OVERDUE",""))</f>
        <v/>
      </c>
      <c r="S350" s="23" t="n"/>
    </row>
    <row r="351">
      <c r="A351" s="23" t="n"/>
      <c r="B351" s="23" t="n"/>
      <c r="C351" s="23" t="n"/>
      <c r="D351" s="23" t="n"/>
      <c r="E351" s="23" t="n"/>
      <c r="F351" s="23" t="n"/>
      <c r="G351" s="23">
        <f>IF(F351="","",IF(F351="All","Whole team",IFERROR(INDEX(Team!$B$5:$B$10,MATCH(F351,Team!$A$5:$A$10,0)),"")))</f>
        <v/>
      </c>
      <c r="H351" s="26" t="n"/>
      <c r="I351" s="26" t="n"/>
      <c r="J351" s="27" t="n"/>
      <c r="K351" s="28" t="n"/>
      <c r="L351" s="23" t="n"/>
      <c r="M351" s="23" t="n"/>
      <c r="N351" s="27" t="n"/>
      <c r="O351" s="29" t="n"/>
      <c r="P351" s="27" t="n"/>
      <c r="Q351" s="27" t="n"/>
      <c r="R351" s="23">
        <f>IF(OR(I351="",J351="Done"),"",IF(I351&lt;TODAY(),"OVERDUE",""))</f>
        <v/>
      </c>
      <c r="S351" s="23" t="n"/>
    </row>
    <row r="352">
      <c r="A352" s="23" t="n"/>
      <c r="B352" s="23" t="n"/>
      <c r="C352" s="23" t="n"/>
      <c r="D352" s="23" t="n"/>
      <c r="E352" s="23" t="n"/>
      <c r="F352" s="23" t="n"/>
      <c r="G352" s="23">
        <f>IF(F352="","",IF(F352="All","Whole team",IFERROR(INDEX(Team!$B$5:$B$10,MATCH(F352,Team!$A$5:$A$10,0)),"")))</f>
        <v/>
      </c>
      <c r="H352" s="26" t="n"/>
      <c r="I352" s="26" t="n"/>
      <c r="J352" s="27" t="n"/>
      <c r="K352" s="28" t="n"/>
      <c r="L352" s="23" t="n"/>
      <c r="M352" s="23" t="n"/>
      <c r="N352" s="27" t="n"/>
      <c r="O352" s="29" t="n"/>
      <c r="P352" s="27" t="n"/>
      <c r="Q352" s="27" t="n"/>
      <c r="R352" s="23">
        <f>IF(OR(I352="",J352="Done"),"",IF(I352&lt;TODAY(),"OVERDUE",""))</f>
        <v/>
      </c>
      <c r="S352" s="23" t="n"/>
    </row>
    <row r="353">
      <c r="A353" s="23" t="n"/>
      <c r="B353" s="23" t="n"/>
      <c r="C353" s="23" t="n"/>
      <c r="D353" s="23" t="n"/>
      <c r="E353" s="23" t="n"/>
      <c r="F353" s="23" t="n"/>
      <c r="G353" s="23">
        <f>IF(F353="","",IF(F353="All","Whole team",IFERROR(INDEX(Team!$B$5:$B$10,MATCH(F353,Team!$A$5:$A$10,0)),"")))</f>
        <v/>
      </c>
      <c r="H353" s="26" t="n"/>
      <c r="I353" s="26" t="n"/>
      <c r="J353" s="27" t="n"/>
      <c r="K353" s="28" t="n"/>
      <c r="L353" s="23" t="n"/>
      <c r="M353" s="23" t="n"/>
      <c r="N353" s="27" t="n"/>
      <c r="O353" s="29" t="n"/>
      <c r="P353" s="27" t="n"/>
      <c r="Q353" s="27" t="n"/>
      <c r="R353" s="23">
        <f>IF(OR(I353="",J353="Done"),"",IF(I353&lt;TODAY(),"OVERDUE",""))</f>
        <v/>
      </c>
      <c r="S353" s="23" t="n"/>
    </row>
    <row r="354">
      <c r="A354" s="23" t="n"/>
      <c r="B354" s="23" t="n"/>
      <c r="C354" s="23" t="n"/>
      <c r="D354" s="23" t="n"/>
      <c r="E354" s="23" t="n"/>
      <c r="F354" s="23" t="n"/>
      <c r="G354" s="23">
        <f>IF(F354="","",IF(F354="All","Whole team",IFERROR(INDEX(Team!$B$5:$B$10,MATCH(F354,Team!$A$5:$A$10,0)),"")))</f>
        <v/>
      </c>
      <c r="H354" s="26" t="n"/>
      <c r="I354" s="26" t="n"/>
      <c r="J354" s="27" t="n"/>
      <c r="K354" s="28" t="n"/>
      <c r="L354" s="23" t="n"/>
      <c r="M354" s="23" t="n"/>
      <c r="N354" s="27" t="n"/>
      <c r="O354" s="29" t="n"/>
      <c r="P354" s="27" t="n"/>
      <c r="Q354" s="27" t="n"/>
      <c r="R354" s="23">
        <f>IF(OR(I354="",J354="Done"),"",IF(I354&lt;TODAY(),"OVERDUE",""))</f>
        <v/>
      </c>
      <c r="S354" s="23" t="n"/>
    </row>
    <row r="355">
      <c r="A355" s="23" t="n"/>
      <c r="B355" s="23" t="n"/>
      <c r="C355" s="23" t="n"/>
      <c r="D355" s="23" t="n"/>
      <c r="E355" s="23" t="n"/>
      <c r="F355" s="23" t="n"/>
      <c r="G355" s="23">
        <f>IF(F355="","",IF(F355="All","Whole team",IFERROR(INDEX(Team!$B$5:$B$10,MATCH(F355,Team!$A$5:$A$10,0)),"")))</f>
        <v/>
      </c>
      <c r="H355" s="26" t="n"/>
      <c r="I355" s="26" t="n"/>
      <c r="J355" s="27" t="n"/>
      <c r="K355" s="28" t="n"/>
      <c r="L355" s="23" t="n"/>
      <c r="M355" s="23" t="n"/>
      <c r="N355" s="27" t="n"/>
      <c r="O355" s="29" t="n"/>
      <c r="P355" s="27" t="n"/>
      <c r="Q355" s="27" t="n"/>
      <c r="R355" s="23">
        <f>IF(OR(I355="",J355="Done"),"",IF(I355&lt;TODAY(),"OVERDUE",""))</f>
        <v/>
      </c>
      <c r="S355" s="23" t="n"/>
    </row>
    <row r="356">
      <c r="A356" s="23" t="n"/>
      <c r="B356" s="23" t="n"/>
      <c r="C356" s="23" t="n"/>
      <c r="D356" s="23" t="n"/>
      <c r="E356" s="23" t="n"/>
      <c r="F356" s="23" t="n"/>
      <c r="G356" s="23">
        <f>IF(F356="","",IF(F356="All","Whole team",IFERROR(INDEX(Team!$B$5:$B$10,MATCH(F356,Team!$A$5:$A$10,0)),"")))</f>
        <v/>
      </c>
      <c r="H356" s="26" t="n"/>
      <c r="I356" s="26" t="n"/>
      <c r="J356" s="27" t="n"/>
      <c r="K356" s="28" t="n"/>
      <c r="L356" s="23" t="n"/>
      <c r="M356" s="23" t="n"/>
      <c r="N356" s="27" t="n"/>
      <c r="O356" s="29" t="n"/>
      <c r="P356" s="27" t="n"/>
      <c r="Q356" s="27" t="n"/>
      <c r="R356" s="23">
        <f>IF(OR(I356="",J356="Done"),"",IF(I356&lt;TODAY(),"OVERDUE",""))</f>
        <v/>
      </c>
      <c r="S356" s="23" t="n"/>
    </row>
    <row r="357">
      <c r="A357" s="23" t="n"/>
      <c r="B357" s="23" t="n"/>
      <c r="C357" s="23" t="n"/>
      <c r="D357" s="23" t="n"/>
      <c r="E357" s="23" t="n"/>
      <c r="F357" s="23" t="n"/>
      <c r="G357" s="23">
        <f>IF(F357="","",IF(F357="All","Whole team",IFERROR(INDEX(Team!$B$5:$B$10,MATCH(F357,Team!$A$5:$A$10,0)),"")))</f>
        <v/>
      </c>
      <c r="H357" s="26" t="n"/>
      <c r="I357" s="26" t="n"/>
      <c r="J357" s="27" t="n"/>
      <c r="K357" s="28" t="n"/>
      <c r="L357" s="23" t="n"/>
      <c r="M357" s="23" t="n"/>
      <c r="N357" s="27" t="n"/>
      <c r="O357" s="29" t="n"/>
      <c r="P357" s="27" t="n"/>
      <c r="Q357" s="27" t="n"/>
      <c r="R357" s="23">
        <f>IF(OR(I357="",J357="Done"),"",IF(I357&lt;TODAY(),"OVERDUE",""))</f>
        <v/>
      </c>
      <c r="S357" s="23" t="n"/>
    </row>
    <row r="358">
      <c r="A358" s="23" t="n"/>
      <c r="B358" s="23" t="n"/>
      <c r="C358" s="23" t="n"/>
      <c r="D358" s="23" t="n"/>
      <c r="E358" s="23" t="n"/>
      <c r="F358" s="23" t="n"/>
      <c r="G358" s="23">
        <f>IF(F358="","",IF(F358="All","Whole team",IFERROR(INDEX(Team!$B$5:$B$10,MATCH(F358,Team!$A$5:$A$10,0)),"")))</f>
        <v/>
      </c>
      <c r="H358" s="26" t="n"/>
      <c r="I358" s="26" t="n"/>
      <c r="J358" s="27" t="n"/>
      <c r="K358" s="28" t="n"/>
      <c r="L358" s="23" t="n"/>
      <c r="M358" s="23" t="n"/>
      <c r="N358" s="27" t="n"/>
      <c r="O358" s="29" t="n"/>
      <c r="P358" s="27" t="n"/>
      <c r="Q358" s="27" t="n"/>
      <c r="R358" s="23">
        <f>IF(OR(I358="",J358="Done"),"",IF(I358&lt;TODAY(),"OVERDUE",""))</f>
        <v/>
      </c>
      <c r="S358" s="23" t="n"/>
    </row>
    <row r="359">
      <c r="A359" s="23" t="n"/>
      <c r="B359" s="23" t="n"/>
      <c r="C359" s="23" t="n"/>
      <c r="D359" s="23" t="n"/>
      <c r="E359" s="23" t="n"/>
      <c r="F359" s="23" t="n"/>
      <c r="G359" s="23">
        <f>IF(F359="","",IF(F359="All","Whole team",IFERROR(INDEX(Team!$B$5:$B$10,MATCH(F359,Team!$A$5:$A$10,0)),"")))</f>
        <v/>
      </c>
      <c r="H359" s="26" t="n"/>
      <c r="I359" s="26" t="n"/>
      <c r="J359" s="27" t="n"/>
      <c r="K359" s="28" t="n"/>
      <c r="L359" s="23" t="n"/>
      <c r="M359" s="23" t="n"/>
      <c r="N359" s="27" t="n"/>
      <c r="O359" s="29" t="n"/>
      <c r="P359" s="27" t="n"/>
      <c r="Q359" s="27" t="n"/>
      <c r="R359" s="23">
        <f>IF(OR(I359="",J359="Done"),"",IF(I359&lt;TODAY(),"OVERDUE",""))</f>
        <v/>
      </c>
      <c r="S359" s="23" t="n"/>
    </row>
    <row r="360">
      <c r="A360" s="23" t="n"/>
      <c r="B360" s="23" t="n"/>
      <c r="C360" s="23" t="n"/>
      <c r="D360" s="23" t="n"/>
      <c r="E360" s="23" t="n"/>
      <c r="F360" s="23" t="n"/>
      <c r="G360" s="23">
        <f>IF(F360="","",IF(F360="All","Whole team",IFERROR(INDEX(Team!$B$5:$B$10,MATCH(F360,Team!$A$5:$A$10,0)),"")))</f>
        <v/>
      </c>
      <c r="H360" s="26" t="n"/>
      <c r="I360" s="26" t="n"/>
      <c r="J360" s="27" t="n"/>
      <c r="K360" s="28" t="n"/>
      <c r="L360" s="23" t="n"/>
      <c r="M360" s="23" t="n"/>
      <c r="N360" s="27" t="n"/>
      <c r="O360" s="29" t="n"/>
      <c r="P360" s="27" t="n"/>
      <c r="Q360" s="27" t="n"/>
      <c r="R360" s="23">
        <f>IF(OR(I360="",J360="Done"),"",IF(I360&lt;TODAY(),"OVERDUE",""))</f>
        <v/>
      </c>
      <c r="S360" s="23" t="n"/>
    </row>
    <row r="361">
      <c r="A361" s="23" t="n"/>
      <c r="B361" s="23" t="n"/>
      <c r="C361" s="23" t="n"/>
      <c r="D361" s="23" t="n"/>
      <c r="E361" s="23" t="n"/>
      <c r="F361" s="23" t="n"/>
      <c r="G361" s="23">
        <f>IF(F361="","",IF(F361="All","Whole team",IFERROR(INDEX(Team!$B$5:$B$10,MATCH(F361,Team!$A$5:$A$10,0)),"")))</f>
        <v/>
      </c>
      <c r="H361" s="26" t="n"/>
      <c r="I361" s="26" t="n"/>
      <c r="J361" s="27" t="n"/>
      <c r="K361" s="28" t="n"/>
      <c r="L361" s="23" t="n"/>
      <c r="M361" s="23" t="n"/>
      <c r="N361" s="27" t="n"/>
      <c r="O361" s="29" t="n"/>
      <c r="P361" s="27" t="n"/>
      <c r="Q361" s="27" t="n"/>
      <c r="R361" s="23">
        <f>IF(OR(I361="",J361="Done"),"",IF(I361&lt;TODAY(),"OVERDUE",""))</f>
        <v/>
      </c>
      <c r="S361" s="23" t="n"/>
    </row>
    <row r="362">
      <c r="A362" s="23" t="n"/>
      <c r="B362" s="23" t="n"/>
      <c r="C362" s="23" t="n"/>
      <c r="D362" s="23" t="n"/>
      <c r="E362" s="23" t="n"/>
      <c r="F362" s="23" t="n"/>
      <c r="G362" s="23">
        <f>IF(F362="","",IF(F362="All","Whole team",IFERROR(INDEX(Team!$B$5:$B$10,MATCH(F362,Team!$A$5:$A$10,0)),"")))</f>
        <v/>
      </c>
      <c r="H362" s="26" t="n"/>
      <c r="I362" s="26" t="n"/>
      <c r="J362" s="27" t="n"/>
      <c r="K362" s="28" t="n"/>
      <c r="L362" s="23" t="n"/>
      <c r="M362" s="23" t="n"/>
      <c r="N362" s="27" t="n"/>
      <c r="O362" s="29" t="n"/>
      <c r="P362" s="27" t="n"/>
      <c r="Q362" s="27" t="n"/>
      <c r="R362" s="23">
        <f>IF(OR(I362="",J362="Done"),"",IF(I362&lt;TODAY(),"OVERDUE",""))</f>
        <v/>
      </c>
      <c r="S362" s="23" t="n"/>
    </row>
    <row r="363">
      <c r="A363" s="23" t="n"/>
      <c r="B363" s="23" t="n"/>
      <c r="C363" s="23" t="n"/>
      <c r="D363" s="23" t="n"/>
      <c r="E363" s="23" t="n"/>
      <c r="F363" s="23" t="n"/>
      <c r="G363" s="23">
        <f>IF(F363="","",IF(F363="All","Whole team",IFERROR(INDEX(Team!$B$5:$B$10,MATCH(F363,Team!$A$5:$A$10,0)),"")))</f>
        <v/>
      </c>
      <c r="H363" s="26" t="n"/>
      <c r="I363" s="26" t="n"/>
      <c r="J363" s="27" t="n"/>
      <c r="K363" s="28" t="n"/>
      <c r="L363" s="23" t="n"/>
      <c r="M363" s="23" t="n"/>
      <c r="N363" s="27" t="n"/>
      <c r="O363" s="29" t="n"/>
      <c r="P363" s="27" t="n"/>
      <c r="Q363" s="27" t="n"/>
      <c r="R363" s="23">
        <f>IF(OR(I363="",J363="Done"),"",IF(I363&lt;TODAY(),"OVERDUE",""))</f>
        <v/>
      </c>
      <c r="S363" s="23" t="n"/>
    </row>
    <row r="364">
      <c r="A364" s="23" t="n"/>
      <c r="B364" s="23" t="n"/>
      <c r="C364" s="23" t="n"/>
      <c r="D364" s="23" t="n"/>
      <c r="E364" s="23" t="n"/>
      <c r="F364" s="23" t="n"/>
      <c r="G364" s="23">
        <f>IF(F364="","",IF(F364="All","Whole team",IFERROR(INDEX(Team!$B$5:$B$10,MATCH(F364,Team!$A$5:$A$10,0)),"")))</f>
        <v/>
      </c>
      <c r="H364" s="26" t="n"/>
      <c r="I364" s="26" t="n"/>
      <c r="J364" s="27" t="n"/>
      <c r="K364" s="28" t="n"/>
      <c r="L364" s="23" t="n"/>
      <c r="M364" s="23" t="n"/>
      <c r="N364" s="27" t="n"/>
      <c r="O364" s="29" t="n"/>
      <c r="P364" s="27" t="n"/>
      <c r="Q364" s="27" t="n"/>
      <c r="R364" s="23">
        <f>IF(OR(I364="",J364="Done"),"",IF(I364&lt;TODAY(),"OVERDUE",""))</f>
        <v/>
      </c>
      <c r="S364" s="23" t="n"/>
    </row>
    <row r="365">
      <c r="A365" s="23" t="n"/>
      <c r="B365" s="23" t="n"/>
      <c r="C365" s="23" t="n"/>
      <c r="D365" s="23" t="n"/>
      <c r="E365" s="23" t="n"/>
      <c r="F365" s="23" t="n"/>
      <c r="G365" s="23">
        <f>IF(F365="","",IF(F365="All","Whole team",IFERROR(INDEX(Team!$B$5:$B$10,MATCH(F365,Team!$A$5:$A$10,0)),"")))</f>
        <v/>
      </c>
      <c r="H365" s="26" t="n"/>
      <c r="I365" s="26" t="n"/>
      <c r="J365" s="27" t="n"/>
      <c r="K365" s="28" t="n"/>
      <c r="L365" s="23" t="n"/>
      <c r="M365" s="23" t="n"/>
      <c r="N365" s="27" t="n"/>
      <c r="O365" s="29" t="n"/>
      <c r="P365" s="27" t="n"/>
      <c r="Q365" s="27" t="n"/>
      <c r="R365" s="23">
        <f>IF(OR(I365="",J365="Done"),"",IF(I365&lt;TODAY(),"OVERDUE",""))</f>
        <v/>
      </c>
      <c r="S365" s="23" t="n"/>
    </row>
    <row r="366">
      <c r="A366" s="23" t="n"/>
      <c r="B366" s="23" t="n"/>
      <c r="C366" s="23" t="n"/>
      <c r="D366" s="23" t="n"/>
      <c r="E366" s="23" t="n"/>
      <c r="F366" s="23" t="n"/>
      <c r="G366" s="23">
        <f>IF(F366="","",IF(F366="All","Whole team",IFERROR(INDEX(Team!$B$5:$B$10,MATCH(F366,Team!$A$5:$A$10,0)),"")))</f>
        <v/>
      </c>
      <c r="H366" s="26" t="n"/>
      <c r="I366" s="26" t="n"/>
      <c r="J366" s="27" t="n"/>
      <c r="K366" s="28" t="n"/>
      <c r="L366" s="23" t="n"/>
      <c r="M366" s="23" t="n"/>
      <c r="N366" s="27" t="n"/>
      <c r="O366" s="29" t="n"/>
      <c r="P366" s="27" t="n"/>
      <c r="Q366" s="27" t="n"/>
      <c r="R366" s="23">
        <f>IF(OR(I366="",J366="Done"),"",IF(I366&lt;TODAY(),"OVERDUE",""))</f>
        <v/>
      </c>
      <c r="S366" s="23" t="n"/>
    </row>
    <row r="367">
      <c r="A367" s="23" t="n"/>
      <c r="B367" s="23" t="n"/>
      <c r="C367" s="23" t="n"/>
      <c r="D367" s="23" t="n"/>
      <c r="E367" s="23" t="n"/>
      <c r="F367" s="23" t="n"/>
      <c r="G367" s="23">
        <f>IF(F367="","",IF(F367="All","Whole team",IFERROR(INDEX(Team!$B$5:$B$10,MATCH(F367,Team!$A$5:$A$10,0)),"")))</f>
        <v/>
      </c>
      <c r="H367" s="26" t="n"/>
      <c r="I367" s="26" t="n"/>
      <c r="J367" s="27" t="n"/>
      <c r="K367" s="28" t="n"/>
      <c r="L367" s="23" t="n"/>
      <c r="M367" s="23" t="n"/>
      <c r="N367" s="27" t="n"/>
      <c r="O367" s="29" t="n"/>
      <c r="P367" s="27" t="n"/>
      <c r="Q367" s="27" t="n"/>
      <c r="R367" s="23">
        <f>IF(OR(I367="",J367="Done"),"",IF(I367&lt;TODAY(),"OVERDUE",""))</f>
        <v/>
      </c>
      <c r="S367" s="23" t="n"/>
    </row>
    <row r="368">
      <c r="A368" s="23" t="n"/>
      <c r="B368" s="23" t="n"/>
      <c r="C368" s="23" t="n"/>
      <c r="D368" s="23" t="n"/>
      <c r="E368" s="23" t="n"/>
      <c r="F368" s="23" t="n"/>
      <c r="G368" s="23">
        <f>IF(F368="","",IF(F368="All","Whole team",IFERROR(INDEX(Team!$B$5:$B$10,MATCH(F368,Team!$A$5:$A$10,0)),"")))</f>
        <v/>
      </c>
      <c r="H368" s="26" t="n"/>
      <c r="I368" s="26" t="n"/>
      <c r="J368" s="27" t="n"/>
      <c r="K368" s="28" t="n"/>
      <c r="L368" s="23" t="n"/>
      <c r="M368" s="23" t="n"/>
      <c r="N368" s="27" t="n"/>
      <c r="O368" s="29" t="n"/>
      <c r="P368" s="27" t="n"/>
      <c r="Q368" s="27" t="n"/>
      <c r="R368" s="23">
        <f>IF(OR(I368="",J368="Done"),"",IF(I368&lt;TODAY(),"OVERDUE",""))</f>
        <v/>
      </c>
      <c r="S368" s="23" t="n"/>
    </row>
    <row r="369">
      <c r="A369" s="23" t="n"/>
      <c r="B369" s="23" t="n"/>
      <c r="C369" s="23" t="n"/>
      <c r="D369" s="23" t="n"/>
      <c r="E369" s="23" t="n"/>
      <c r="F369" s="23" t="n"/>
      <c r="G369" s="23">
        <f>IF(F369="","",IF(F369="All","Whole team",IFERROR(INDEX(Team!$B$5:$B$10,MATCH(F369,Team!$A$5:$A$10,0)),"")))</f>
        <v/>
      </c>
      <c r="H369" s="26" t="n"/>
      <c r="I369" s="26" t="n"/>
      <c r="J369" s="27" t="n"/>
      <c r="K369" s="28" t="n"/>
      <c r="L369" s="23" t="n"/>
      <c r="M369" s="23" t="n"/>
      <c r="N369" s="27" t="n"/>
      <c r="O369" s="29" t="n"/>
      <c r="P369" s="27" t="n"/>
      <c r="Q369" s="27" t="n"/>
      <c r="R369" s="23">
        <f>IF(OR(I369="",J369="Done"),"",IF(I369&lt;TODAY(),"OVERDUE",""))</f>
        <v/>
      </c>
      <c r="S369" s="23" t="n"/>
    </row>
    <row r="370">
      <c r="A370" s="23" t="n"/>
      <c r="B370" s="23" t="n"/>
      <c r="C370" s="23" t="n"/>
      <c r="D370" s="23" t="n"/>
      <c r="E370" s="23" t="n"/>
      <c r="F370" s="23" t="n"/>
      <c r="G370" s="23">
        <f>IF(F370="","",IF(F370="All","Whole team",IFERROR(INDEX(Team!$B$5:$B$10,MATCH(F370,Team!$A$5:$A$10,0)),"")))</f>
        <v/>
      </c>
      <c r="H370" s="26" t="n"/>
      <c r="I370" s="26" t="n"/>
      <c r="J370" s="27" t="n"/>
      <c r="K370" s="28" t="n"/>
      <c r="L370" s="23" t="n"/>
      <c r="M370" s="23" t="n"/>
      <c r="N370" s="27" t="n"/>
      <c r="O370" s="29" t="n"/>
      <c r="P370" s="27" t="n"/>
      <c r="Q370" s="27" t="n"/>
      <c r="R370" s="23">
        <f>IF(OR(I370="",J370="Done"),"",IF(I370&lt;TODAY(),"OVERDUE",""))</f>
        <v/>
      </c>
      <c r="S370" s="23" t="n"/>
    </row>
    <row r="371">
      <c r="A371" s="23" t="n"/>
      <c r="B371" s="23" t="n"/>
      <c r="C371" s="23" t="n"/>
      <c r="D371" s="23" t="n"/>
      <c r="E371" s="23" t="n"/>
      <c r="F371" s="23" t="n"/>
      <c r="G371" s="23">
        <f>IF(F371="","",IF(F371="All","Whole team",IFERROR(INDEX(Team!$B$5:$B$10,MATCH(F371,Team!$A$5:$A$10,0)),"")))</f>
        <v/>
      </c>
      <c r="H371" s="26" t="n"/>
      <c r="I371" s="26" t="n"/>
      <c r="J371" s="27" t="n"/>
      <c r="K371" s="28" t="n"/>
      <c r="L371" s="23" t="n"/>
      <c r="M371" s="23" t="n"/>
      <c r="N371" s="27" t="n"/>
      <c r="O371" s="29" t="n"/>
      <c r="P371" s="27" t="n"/>
      <c r="Q371" s="27" t="n"/>
      <c r="R371" s="23">
        <f>IF(OR(I371="",J371="Done"),"",IF(I371&lt;TODAY(),"OVERDUE",""))</f>
        <v/>
      </c>
      <c r="S371" s="23" t="n"/>
    </row>
    <row r="372">
      <c r="A372" s="23" t="n"/>
      <c r="B372" s="23" t="n"/>
      <c r="C372" s="23" t="n"/>
      <c r="D372" s="23" t="n"/>
      <c r="E372" s="23" t="n"/>
      <c r="F372" s="23" t="n"/>
      <c r="G372" s="23">
        <f>IF(F372="","",IF(F372="All","Whole team",IFERROR(INDEX(Team!$B$5:$B$10,MATCH(F372,Team!$A$5:$A$10,0)),"")))</f>
        <v/>
      </c>
      <c r="H372" s="26" t="n"/>
      <c r="I372" s="26" t="n"/>
      <c r="J372" s="27" t="n"/>
      <c r="K372" s="28" t="n"/>
      <c r="L372" s="23" t="n"/>
      <c r="M372" s="23" t="n"/>
      <c r="N372" s="27" t="n"/>
      <c r="O372" s="29" t="n"/>
      <c r="P372" s="27" t="n"/>
      <c r="Q372" s="27" t="n"/>
      <c r="R372" s="23">
        <f>IF(OR(I372="",J372="Done"),"",IF(I372&lt;TODAY(),"OVERDUE",""))</f>
        <v/>
      </c>
      <c r="S372" s="23" t="n"/>
    </row>
    <row r="373">
      <c r="A373" s="23" t="n"/>
      <c r="B373" s="23" t="n"/>
      <c r="C373" s="23" t="n"/>
      <c r="D373" s="23" t="n"/>
      <c r="E373" s="23" t="n"/>
      <c r="F373" s="23" t="n"/>
      <c r="G373" s="23">
        <f>IF(F373="","",IF(F373="All","Whole team",IFERROR(INDEX(Team!$B$5:$B$10,MATCH(F373,Team!$A$5:$A$10,0)),"")))</f>
        <v/>
      </c>
      <c r="H373" s="26" t="n"/>
      <c r="I373" s="26" t="n"/>
      <c r="J373" s="27" t="n"/>
      <c r="K373" s="28" t="n"/>
      <c r="L373" s="23" t="n"/>
      <c r="M373" s="23" t="n"/>
      <c r="N373" s="27" t="n"/>
      <c r="O373" s="29" t="n"/>
      <c r="P373" s="27" t="n"/>
      <c r="Q373" s="27" t="n"/>
      <c r="R373" s="23">
        <f>IF(OR(I373="",J373="Done"),"",IF(I373&lt;TODAY(),"OVERDUE",""))</f>
        <v/>
      </c>
      <c r="S373" s="23" t="n"/>
    </row>
    <row r="374">
      <c r="A374" s="23" t="n"/>
      <c r="B374" s="23" t="n"/>
      <c r="C374" s="23" t="n"/>
      <c r="D374" s="23" t="n"/>
      <c r="E374" s="23" t="n"/>
      <c r="F374" s="23" t="n"/>
      <c r="G374" s="23">
        <f>IF(F374="","",IF(F374="All","Whole team",IFERROR(INDEX(Team!$B$5:$B$10,MATCH(F374,Team!$A$5:$A$10,0)),"")))</f>
        <v/>
      </c>
      <c r="H374" s="26" t="n"/>
      <c r="I374" s="26" t="n"/>
      <c r="J374" s="27" t="n"/>
      <c r="K374" s="28" t="n"/>
      <c r="L374" s="23" t="n"/>
      <c r="M374" s="23" t="n"/>
      <c r="N374" s="27" t="n"/>
      <c r="O374" s="29" t="n"/>
      <c r="P374" s="27" t="n"/>
      <c r="Q374" s="27" t="n"/>
      <c r="R374" s="23">
        <f>IF(OR(I374="",J374="Done"),"",IF(I374&lt;TODAY(),"OVERDUE",""))</f>
        <v/>
      </c>
      <c r="S374" s="23" t="n"/>
    </row>
    <row r="375">
      <c r="A375" s="23" t="n"/>
      <c r="B375" s="23" t="n"/>
      <c r="C375" s="23" t="n"/>
      <c r="D375" s="23" t="n"/>
      <c r="E375" s="23" t="n"/>
      <c r="F375" s="23" t="n"/>
      <c r="G375" s="23">
        <f>IF(F375="","",IF(F375="All","Whole team",IFERROR(INDEX(Team!$B$5:$B$10,MATCH(F375,Team!$A$5:$A$10,0)),"")))</f>
        <v/>
      </c>
      <c r="H375" s="26" t="n"/>
      <c r="I375" s="26" t="n"/>
      <c r="J375" s="27" t="n"/>
      <c r="K375" s="28" t="n"/>
      <c r="L375" s="23" t="n"/>
      <c r="M375" s="23" t="n"/>
      <c r="N375" s="27" t="n"/>
      <c r="O375" s="29" t="n"/>
      <c r="P375" s="27" t="n"/>
      <c r="Q375" s="27" t="n"/>
      <c r="R375" s="23">
        <f>IF(OR(I375="",J375="Done"),"",IF(I375&lt;TODAY(),"OVERDUE",""))</f>
        <v/>
      </c>
      <c r="S375" s="23" t="n"/>
    </row>
    <row r="376">
      <c r="A376" s="23" t="n"/>
      <c r="B376" s="23" t="n"/>
      <c r="C376" s="23" t="n"/>
      <c r="D376" s="23" t="n"/>
      <c r="E376" s="23" t="n"/>
      <c r="F376" s="23" t="n"/>
      <c r="G376" s="23">
        <f>IF(F376="","",IF(F376="All","Whole team",IFERROR(INDEX(Team!$B$5:$B$10,MATCH(F376,Team!$A$5:$A$10,0)),"")))</f>
        <v/>
      </c>
      <c r="H376" s="26" t="n"/>
      <c r="I376" s="26" t="n"/>
      <c r="J376" s="27" t="n"/>
      <c r="K376" s="28" t="n"/>
      <c r="L376" s="23" t="n"/>
      <c r="M376" s="23" t="n"/>
      <c r="N376" s="27" t="n"/>
      <c r="O376" s="29" t="n"/>
      <c r="P376" s="27" t="n"/>
      <c r="Q376" s="27" t="n"/>
      <c r="R376" s="23">
        <f>IF(OR(I376="",J376="Done"),"",IF(I376&lt;TODAY(),"OVERDUE",""))</f>
        <v/>
      </c>
      <c r="S376" s="23" t="n"/>
    </row>
    <row r="377">
      <c r="A377" s="23" t="n"/>
      <c r="B377" s="23" t="n"/>
      <c r="C377" s="23" t="n"/>
      <c r="D377" s="23" t="n"/>
      <c r="E377" s="23" t="n"/>
      <c r="F377" s="23" t="n"/>
      <c r="G377" s="23">
        <f>IF(F377="","",IF(F377="All","Whole team",IFERROR(INDEX(Team!$B$5:$B$10,MATCH(F377,Team!$A$5:$A$10,0)),"")))</f>
        <v/>
      </c>
      <c r="H377" s="26" t="n"/>
      <c r="I377" s="26" t="n"/>
      <c r="J377" s="27" t="n"/>
      <c r="K377" s="28" t="n"/>
      <c r="L377" s="23" t="n"/>
      <c r="M377" s="23" t="n"/>
      <c r="N377" s="27" t="n"/>
      <c r="O377" s="29" t="n"/>
      <c r="P377" s="27" t="n"/>
      <c r="Q377" s="27" t="n"/>
      <c r="R377" s="23">
        <f>IF(OR(I377="",J377="Done"),"",IF(I377&lt;TODAY(),"OVERDUE",""))</f>
        <v/>
      </c>
      <c r="S377" s="23" t="n"/>
    </row>
    <row r="378">
      <c r="A378" s="23" t="n"/>
      <c r="B378" s="23" t="n"/>
      <c r="C378" s="23" t="n"/>
      <c r="D378" s="23" t="n"/>
      <c r="E378" s="23" t="n"/>
      <c r="F378" s="23" t="n"/>
      <c r="G378" s="23">
        <f>IF(F378="","",IF(F378="All","Whole team",IFERROR(INDEX(Team!$B$5:$B$10,MATCH(F378,Team!$A$5:$A$10,0)),"")))</f>
        <v/>
      </c>
      <c r="H378" s="26" t="n"/>
      <c r="I378" s="26" t="n"/>
      <c r="J378" s="27" t="n"/>
      <c r="K378" s="28" t="n"/>
      <c r="L378" s="23" t="n"/>
      <c r="M378" s="23" t="n"/>
      <c r="N378" s="27" t="n"/>
      <c r="O378" s="29" t="n"/>
      <c r="P378" s="27" t="n"/>
      <c r="Q378" s="27" t="n"/>
      <c r="R378" s="23">
        <f>IF(OR(I378="",J378="Done"),"",IF(I378&lt;TODAY(),"OVERDUE",""))</f>
        <v/>
      </c>
      <c r="S378" s="23" t="n"/>
    </row>
    <row r="379">
      <c r="A379" s="23" t="n"/>
      <c r="B379" s="23" t="n"/>
      <c r="C379" s="23" t="n"/>
      <c r="D379" s="23" t="n"/>
      <c r="E379" s="23" t="n"/>
      <c r="F379" s="23" t="n"/>
      <c r="G379" s="23">
        <f>IF(F379="","",IF(F379="All","Whole team",IFERROR(INDEX(Team!$B$5:$B$10,MATCH(F379,Team!$A$5:$A$10,0)),"")))</f>
        <v/>
      </c>
      <c r="H379" s="26" t="n"/>
      <c r="I379" s="26" t="n"/>
      <c r="J379" s="27" t="n"/>
      <c r="K379" s="28" t="n"/>
      <c r="L379" s="23" t="n"/>
      <c r="M379" s="23" t="n"/>
      <c r="N379" s="27" t="n"/>
      <c r="O379" s="29" t="n"/>
      <c r="P379" s="27" t="n"/>
      <c r="Q379" s="27" t="n"/>
      <c r="R379" s="23">
        <f>IF(OR(I379="",J379="Done"),"",IF(I379&lt;TODAY(),"OVERDUE",""))</f>
        <v/>
      </c>
      <c r="S379" s="23" t="n"/>
    </row>
    <row r="380">
      <c r="A380" s="23" t="n"/>
      <c r="B380" s="23" t="n"/>
      <c r="C380" s="23" t="n"/>
      <c r="D380" s="23" t="n"/>
      <c r="E380" s="23" t="n"/>
      <c r="F380" s="23" t="n"/>
      <c r="G380" s="23">
        <f>IF(F380="","",IF(F380="All","Whole team",IFERROR(INDEX(Team!$B$5:$B$10,MATCH(F380,Team!$A$5:$A$10,0)),"")))</f>
        <v/>
      </c>
      <c r="H380" s="26" t="n"/>
      <c r="I380" s="26" t="n"/>
      <c r="J380" s="27" t="n"/>
      <c r="K380" s="28" t="n"/>
      <c r="L380" s="23" t="n"/>
      <c r="M380" s="23" t="n"/>
      <c r="N380" s="27" t="n"/>
      <c r="O380" s="29" t="n"/>
      <c r="P380" s="27" t="n"/>
      <c r="Q380" s="27" t="n"/>
      <c r="R380" s="23">
        <f>IF(OR(I380="",J380="Done"),"",IF(I380&lt;TODAY(),"OVERDUE",""))</f>
        <v/>
      </c>
      <c r="S380" s="23" t="n"/>
    </row>
    <row r="381">
      <c r="A381" s="23" t="n"/>
      <c r="B381" s="23" t="n"/>
      <c r="C381" s="23" t="n"/>
      <c r="D381" s="23" t="n"/>
      <c r="E381" s="23" t="n"/>
      <c r="F381" s="23" t="n"/>
      <c r="G381" s="23">
        <f>IF(F381="","",IF(F381="All","Whole team",IFERROR(INDEX(Team!$B$5:$B$10,MATCH(F381,Team!$A$5:$A$10,0)),"")))</f>
        <v/>
      </c>
      <c r="H381" s="26" t="n"/>
      <c r="I381" s="26" t="n"/>
      <c r="J381" s="27" t="n"/>
      <c r="K381" s="28" t="n"/>
      <c r="L381" s="23" t="n"/>
      <c r="M381" s="23" t="n"/>
      <c r="N381" s="27" t="n"/>
      <c r="O381" s="29" t="n"/>
      <c r="P381" s="27" t="n"/>
      <c r="Q381" s="27" t="n"/>
      <c r="R381" s="23">
        <f>IF(OR(I381="",J381="Done"),"",IF(I381&lt;TODAY(),"OVERDUE",""))</f>
        <v/>
      </c>
      <c r="S381" s="23" t="n"/>
    </row>
    <row r="382">
      <c r="A382" s="23" t="n"/>
      <c r="B382" s="23" t="n"/>
      <c r="C382" s="23" t="n"/>
      <c r="D382" s="23" t="n"/>
      <c r="E382" s="23" t="n"/>
      <c r="F382" s="23" t="n"/>
      <c r="G382" s="23">
        <f>IF(F382="","",IF(F382="All","Whole team",IFERROR(INDEX(Team!$B$5:$B$10,MATCH(F382,Team!$A$5:$A$10,0)),"")))</f>
        <v/>
      </c>
      <c r="H382" s="26" t="n"/>
      <c r="I382" s="26" t="n"/>
      <c r="J382" s="27" t="n"/>
      <c r="K382" s="28" t="n"/>
      <c r="L382" s="23" t="n"/>
      <c r="M382" s="23" t="n"/>
      <c r="N382" s="27" t="n"/>
      <c r="O382" s="29" t="n"/>
      <c r="P382" s="27" t="n"/>
      <c r="Q382" s="27" t="n"/>
      <c r="R382" s="23">
        <f>IF(OR(I382="",J382="Done"),"",IF(I382&lt;TODAY(),"OVERDUE",""))</f>
        <v/>
      </c>
      <c r="S382" s="23" t="n"/>
    </row>
    <row r="383">
      <c r="A383" s="23" t="n"/>
      <c r="B383" s="23" t="n"/>
      <c r="C383" s="23" t="n"/>
      <c r="D383" s="23" t="n"/>
      <c r="E383" s="23" t="n"/>
      <c r="F383" s="23" t="n"/>
      <c r="G383" s="23">
        <f>IF(F383="","",IF(F383="All","Whole team",IFERROR(INDEX(Team!$B$5:$B$10,MATCH(F383,Team!$A$5:$A$10,0)),"")))</f>
        <v/>
      </c>
      <c r="H383" s="26" t="n"/>
      <c r="I383" s="26" t="n"/>
      <c r="J383" s="27" t="n"/>
      <c r="K383" s="28" t="n"/>
      <c r="L383" s="23" t="n"/>
      <c r="M383" s="23" t="n"/>
      <c r="N383" s="27" t="n"/>
      <c r="O383" s="29" t="n"/>
      <c r="P383" s="27" t="n"/>
      <c r="Q383" s="27" t="n"/>
      <c r="R383" s="23">
        <f>IF(OR(I383="",J383="Done"),"",IF(I383&lt;TODAY(),"OVERDUE",""))</f>
        <v/>
      </c>
      <c r="S383" s="23" t="n"/>
    </row>
    <row r="384">
      <c r="A384" s="23" t="n"/>
      <c r="B384" s="23" t="n"/>
      <c r="C384" s="23" t="n"/>
      <c r="D384" s="23" t="n"/>
      <c r="E384" s="23" t="n"/>
      <c r="F384" s="23" t="n"/>
      <c r="G384" s="23">
        <f>IF(F384="","",IF(F384="All","Whole team",IFERROR(INDEX(Team!$B$5:$B$10,MATCH(F384,Team!$A$5:$A$10,0)),"")))</f>
        <v/>
      </c>
      <c r="H384" s="26" t="n"/>
      <c r="I384" s="26" t="n"/>
      <c r="J384" s="27" t="n"/>
      <c r="K384" s="28" t="n"/>
      <c r="L384" s="23" t="n"/>
      <c r="M384" s="23" t="n"/>
      <c r="N384" s="27" t="n"/>
      <c r="O384" s="29" t="n"/>
      <c r="P384" s="27" t="n"/>
      <c r="Q384" s="27" t="n"/>
      <c r="R384" s="23">
        <f>IF(OR(I384="",J384="Done"),"",IF(I384&lt;TODAY(),"OVERDUE",""))</f>
        <v/>
      </c>
      <c r="S384" s="23" t="n"/>
    </row>
    <row r="385">
      <c r="A385" s="23" t="n"/>
      <c r="B385" s="23" t="n"/>
      <c r="C385" s="23" t="n"/>
      <c r="D385" s="23" t="n"/>
      <c r="E385" s="23" t="n"/>
      <c r="F385" s="23" t="n"/>
      <c r="G385" s="23">
        <f>IF(F385="","",IF(F385="All","Whole team",IFERROR(INDEX(Team!$B$5:$B$10,MATCH(F385,Team!$A$5:$A$10,0)),"")))</f>
        <v/>
      </c>
      <c r="H385" s="26" t="n"/>
      <c r="I385" s="26" t="n"/>
      <c r="J385" s="27" t="n"/>
      <c r="K385" s="28" t="n"/>
      <c r="L385" s="23" t="n"/>
      <c r="M385" s="23" t="n"/>
      <c r="N385" s="27" t="n"/>
      <c r="O385" s="29" t="n"/>
      <c r="P385" s="27" t="n"/>
      <c r="Q385" s="27" t="n"/>
      <c r="R385" s="23">
        <f>IF(OR(I385="",J385="Done"),"",IF(I385&lt;TODAY(),"OVERDUE",""))</f>
        <v/>
      </c>
      <c r="S385" s="23" t="n"/>
    </row>
    <row r="386">
      <c r="A386" s="23" t="n"/>
      <c r="B386" s="23" t="n"/>
      <c r="C386" s="23" t="n"/>
      <c r="D386" s="23" t="n"/>
      <c r="E386" s="23" t="n"/>
      <c r="F386" s="23" t="n"/>
      <c r="G386" s="23">
        <f>IF(F386="","",IF(F386="All","Whole team",IFERROR(INDEX(Team!$B$5:$B$10,MATCH(F386,Team!$A$5:$A$10,0)),"")))</f>
        <v/>
      </c>
      <c r="H386" s="26" t="n"/>
      <c r="I386" s="26" t="n"/>
      <c r="J386" s="27" t="n"/>
      <c r="K386" s="28" t="n"/>
      <c r="L386" s="23" t="n"/>
      <c r="M386" s="23" t="n"/>
      <c r="N386" s="27" t="n"/>
      <c r="O386" s="29" t="n"/>
      <c r="P386" s="27" t="n"/>
      <c r="Q386" s="27" t="n"/>
      <c r="R386" s="23">
        <f>IF(OR(I386="",J386="Done"),"",IF(I386&lt;TODAY(),"OVERDUE",""))</f>
        <v/>
      </c>
      <c r="S386" s="23" t="n"/>
    </row>
    <row r="387">
      <c r="A387" s="23" t="n"/>
      <c r="B387" s="23" t="n"/>
      <c r="C387" s="23" t="n"/>
      <c r="D387" s="23" t="n"/>
      <c r="E387" s="23" t="n"/>
      <c r="F387" s="23" t="n"/>
      <c r="G387" s="23">
        <f>IF(F387="","",IF(F387="All","Whole team",IFERROR(INDEX(Team!$B$5:$B$10,MATCH(F387,Team!$A$5:$A$10,0)),"")))</f>
        <v/>
      </c>
      <c r="H387" s="26" t="n"/>
      <c r="I387" s="26" t="n"/>
      <c r="J387" s="27" t="n"/>
      <c r="K387" s="28" t="n"/>
      <c r="L387" s="23" t="n"/>
      <c r="M387" s="23" t="n"/>
      <c r="N387" s="27" t="n"/>
      <c r="O387" s="29" t="n"/>
      <c r="P387" s="27" t="n"/>
      <c r="Q387" s="27" t="n"/>
      <c r="R387" s="23">
        <f>IF(OR(I387="",J387="Done"),"",IF(I387&lt;TODAY(),"OVERDUE",""))</f>
        <v/>
      </c>
      <c r="S387" s="23" t="n"/>
    </row>
    <row r="388">
      <c r="A388" s="23" t="n"/>
      <c r="B388" s="23" t="n"/>
      <c r="C388" s="23" t="n"/>
      <c r="D388" s="23" t="n"/>
      <c r="E388" s="23" t="n"/>
      <c r="F388" s="23" t="n"/>
      <c r="G388" s="23">
        <f>IF(F388="","",IF(F388="All","Whole team",IFERROR(INDEX(Team!$B$5:$B$10,MATCH(F388,Team!$A$5:$A$10,0)),"")))</f>
        <v/>
      </c>
      <c r="H388" s="26" t="n"/>
      <c r="I388" s="26" t="n"/>
      <c r="J388" s="27" t="n"/>
      <c r="K388" s="28" t="n"/>
      <c r="L388" s="23" t="n"/>
      <c r="M388" s="23" t="n"/>
      <c r="N388" s="27" t="n"/>
      <c r="O388" s="29" t="n"/>
      <c r="P388" s="27" t="n"/>
      <c r="Q388" s="27" t="n"/>
      <c r="R388" s="23">
        <f>IF(OR(I388="",J388="Done"),"",IF(I388&lt;TODAY(),"OVERDUE",""))</f>
        <v/>
      </c>
      <c r="S388" s="23" t="n"/>
    </row>
    <row r="389">
      <c r="A389" s="23" t="n"/>
      <c r="B389" s="23" t="n"/>
      <c r="C389" s="23" t="n"/>
      <c r="D389" s="23" t="n"/>
      <c r="E389" s="23" t="n"/>
      <c r="F389" s="23" t="n"/>
      <c r="G389" s="23">
        <f>IF(F389="","",IF(F389="All","Whole team",IFERROR(INDEX(Team!$B$5:$B$10,MATCH(F389,Team!$A$5:$A$10,0)),"")))</f>
        <v/>
      </c>
      <c r="H389" s="26" t="n"/>
      <c r="I389" s="26" t="n"/>
      <c r="J389" s="27" t="n"/>
      <c r="K389" s="28" t="n"/>
      <c r="L389" s="23" t="n"/>
      <c r="M389" s="23" t="n"/>
      <c r="N389" s="27" t="n"/>
      <c r="O389" s="29" t="n"/>
      <c r="P389" s="27" t="n"/>
      <c r="Q389" s="27" t="n"/>
      <c r="R389" s="23">
        <f>IF(OR(I389="",J389="Done"),"",IF(I389&lt;TODAY(),"OVERDUE",""))</f>
        <v/>
      </c>
      <c r="S389" s="23" t="n"/>
    </row>
    <row r="390">
      <c r="A390" s="23" t="n"/>
      <c r="B390" s="23" t="n"/>
      <c r="C390" s="23" t="n"/>
      <c r="D390" s="23" t="n"/>
      <c r="E390" s="23" t="n"/>
      <c r="F390" s="23" t="n"/>
      <c r="G390" s="23">
        <f>IF(F390="","",IF(F390="All","Whole team",IFERROR(INDEX(Team!$B$5:$B$10,MATCH(F390,Team!$A$5:$A$10,0)),"")))</f>
        <v/>
      </c>
      <c r="H390" s="26" t="n"/>
      <c r="I390" s="26" t="n"/>
      <c r="J390" s="27" t="n"/>
      <c r="K390" s="28" t="n"/>
      <c r="L390" s="23" t="n"/>
      <c r="M390" s="23" t="n"/>
      <c r="N390" s="27" t="n"/>
      <c r="O390" s="29" t="n"/>
      <c r="P390" s="27" t="n"/>
      <c r="Q390" s="27" t="n"/>
      <c r="R390" s="23">
        <f>IF(OR(I390="",J390="Done"),"",IF(I390&lt;TODAY(),"OVERDUE",""))</f>
        <v/>
      </c>
      <c r="S390" s="23" t="n"/>
    </row>
    <row r="391">
      <c r="A391" s="23" t="n"/>
      <c r="B391" s="23" t="n"/>
      <c r="C391" s="23" t="n"/>
      <c r="D391" s="23" t="n"/>
      <c r="E391" s="23" t="n"/>
      <c r="F391" s="23" t="n"/>
      <c r="G391" s="23">
        <f>IF(F391="","",IF(F391="All","Whole team",IFERROR(INDEX(Team!$B$5:$B$10,MATCH(F391,Team!$A$5:$A$10,0)),"")))</f>
        <v/>
      </c>
      <c r="H391" s="26" t="n"/>
      <c r="I391" s="26" t="n"/>
      <c r="J391" s="27" t="n"/>
      <c r="K391" s="28" t="n"/>
      <c r="L391" s="23" t="n"/>
      <c r="M391" s="23" t="n"/>
      <c r="N391" s="27" t="n"/>
      <c r="O391" s="29" t="n"/>
      <c r="P391" s="27" t="n"/>
      <c r="Q391" s="27" t="n"/>
      <c r="R391" s="23">
        <f>IF(OR(I391="",J391="Done"),"",IF(I391&lt;TODAY(),"OVERDUE",""))</f>
        <v/>
      </c>
      <c r="S391" s="23" t="n"/>
    </row>
    <row r="392">
      <c r="A392" s="23" t="n"/>
      <c r="B392" s="23" t="n"/>
      <c r="C392" s="23" t="n"/>
      <c r="D392" s="23" t="n"/>
      <c r="E392" s="23" t="n"/>
      <c r="F392" s="23" t="n"/>
      <c r="G392" s="23">
        <f>IF(F392="","",IF(F392="All","Whole team",IFERROR(INDEX(Team!$B$5:$B$10,MATCH(F392,Team!$A$5:$A$10,0)),"")))</f>
        <v/>
      </c>
      <c r="H392" s="26" t="n"/>
      <c r="I392" s="26" t="n"/>
      <c r="J392" s="27" t="n"/>
      <c r="K392" s="28" t="n"/>
      <c r="L392" s="23" t="n"/>
      <c r="M392" s="23" t="n"/>
      <c r="N392" s="27" t="n"/>
      <c r="O392" s="29" t="n"/>
      <c r="P392" s="27" t="n"/>
      <c r="Q392" s="27" t="n"/>
      <c r="R392" s="23">
        <f>IF(OR(I392="",J392="Done"),"",IF(I392&lt;TODAY(),"OVERDUE",""))</f>
        <v/>
      </c>
      <c r="S392" s="23" t="n"/>
    </row>
    <row r="393">
      <c r="A393" s="23" t="n"/>
      <c r="B393" s="23" t="n"/>
      <c r="C393" s="23" t="n"/>
      <c r="D393" s="23" t="n"/>
      <c r="E393" s="23" t="n"/>
      <c r="F393" s="23" t="n"/>
      <c r="G393" s="23">
        <f>IF(F393="","",IF(F393="All","Whole team",IFERROR(INDEX(Team!$B$5:$B$10,MATCH(F393,Team!$A$5:$A$10,0)),"")))</f>
        <v/>
      </c>
      <c r="H393" s="26" t="n"/>
      <c r="I393" s="26" t="n"/>
      <c r="J393" s="27" t="n"/>
      <c r="K393" s="28" t="n"/>
      <c r="L393" s="23" t="n"/>
      <c r="M393" s="23" t="n"/>
      <c r="N393" s="27" t="n"/>
      <c r="O393" s="29" t="n"/>
      <c r="P393" s="27" t="n"/>
      <c r="Q393" s="27" t="n"/>
      <c r="R393" s="23">
        <f>IF(OR(I393="",J393="Done"),"",IF(I393&lt;TODAY(),"OVERDUE",""))</f>
        <v/>
      </c>
      <c r="S393" s="23" t="n"/>
    </row>
    <row r="394">
      <c r="A394" s="23" t="n"/>
      <c r="B394" s="23" t="n"/>
      <c r="C394" s="23" t="n"/>
      <c r="D394" s="23" t="n"/>
      <c r="E394" s="23" t="n"/>
      <c r="F394" s="23" t="n"/>
      <c r="G394" s="23">
        <f>IF(F394="","",IF(F394="All","Whole team",IFERROR(INDEX(Team!$B$5:$B$10,MATCH(F394,Team!$A$5:$A$10,0)),"")))</f>
        <v/>
      </c>
      <c r="H394" s="26" t="n"/>
      <c r="I394" s="26" t="n"/>
      <c r="J394" s="27" t="n"/>
      <c r="K394" s="28" t="n"/>
      <c r="L394" s="23" t="n"/>
      <c r="M394" s="23" t="n"/>
      <c r="N394" s="27" t="n"/>
      <c r="O394" s="29" t="n"/>
      <c r="P394" s="27" t="n"/>
      <c r="Q394" s="27" t="n"/>
      <c r="R394" s="23">
        <f>IF(OR(I394="",J394="Done"),"",IF(I394&lt;TODAY(),"OVERDUE",""))</f>
        <v/>
      </c>
      <c r="S394" s="23" t="n"/>
    </row>
    <row r="395">
      <c r="A395" s="23" t="n"/>
      <c r="B395" s="23" t="n"/>
      <c r="C395" s="23" t="n"/>
      <c r="D395" s="23" t="n"/>
      <c r="E395" s="23" t="n"/>
      <c r="F395" s="23" t="n"/>
      <c r="G395" s="23">
        <f>IF(F395="","",IF(F395="All","Whole team",IFERROR(INDEX(Team!$B$5:$B$10,MATCH(F395,Team!$A$5:$A$10,0)),"")))</f>
        <v/>
      </c>
      <c r="H395" s="26" t="n"/>
      <c r="I395" s="26" t="n"/>
      <c r="J395" s="27" t="n"/>
      <c r="K395" s="28" t="n"/>
      <c r="L395" s="23" t="n"/>
      <c r="M395" s="23" t="n"/>
      <c r="N395" s="27" t="n"/>
      <c r="O395" s="29" t="n"/>
      <c r="P395" s="27" t="n"/>
      <c r="Q395" s="27" t="n"/>
      <c r="R395" s="23">
        <f>IF(OR(I395="",J395="Done"),"",IF(I395&lt;TODAY(),"OVERDUE",""))</f>
        <v/>
      </c>
      <c r="S395" s="23" t="n"/>
    </row>
    <row r="396">
      <c r="A396" s="23" t="n"/>
      <c r="B396" s="23" t="n"/>
      <c r="C396" s="23" t="n"/>
      <c r="D396" s="23" t="n"/>
      <c r="E396" s="23" t="n"/>
      <c r="F396" s="23" t="n"/>
      <c r="G396" s="23">
        <f>IF(F396="","",IF(F396="All","Whole team",IFERROR(INDEX(Team!$B$5:$B$10,MATCH(F396,Team!$A$5:$A$10,0)),"")))</f>
        <v/>
      </c>
      <c r="H396" s="26" t="n"/>
      <c r="I396" s="26" t="n"/>
      <c r="J396" s="27" t="n"/>
      <c r="K396" s="28" t="n"/>
      <c r="L396" s="23" t="n"/>
      <c r="M396" s="23" t="n"/>
      <c r="N396" s="27" t="n"/>
      <c r="O396" s="29" t="n"/>
      <c r="P396" s="27" t="n"/>
      <c r="Q396" s="27" t="n"/>
      <c r="R396" s="23">
        <f>IF(OR(I396="",J396="Done"),"",IF(I396&lt;TODAY(),"OVERDUE",""))</f>
        <v/>
      </c>
      <c r="S396" s="23" t="n"/>
    </row>
    <row r="397">
      <c r="A397" s="23" t="n"/>
      <c r="B397" s="23" t="n"/>
      <c r="C397" s="23" t="n"/>
      <c r="D397" s="23" t="n"/>
      <c r="E397" s="23" t="n"/>
      <c r="F397" s="23" t="n"/>
      <c r="G397" s="23">
        <f>IF(F397="","",IF(F397="All","Whole team",IFERROR(INDEX(Team!$B$5:$B$10,MATCH(F397,Team!$A$5:$A$10,0)),"")))</f>
        <v/>
      </c>
      <c r="H397" s="26" t="n"/>
      <c r="I397" s="26" t="n"/>
      <c r="J397" s="27" t="n"/>
      <c r="K397" s="28" t="n"/>
      <c r="L397" s="23" t="n"/>
      <c r="M397" s="23" t="n"/>
      <c r="N397" s="27" t="n"/>
      <c r="O397" s="29" t="n"/>
      <c r="P397" s="27" t="n"/>
      <c r="Q397" s="27" t="n"/>
      <c r="R397" s="23">
        <f>IF(OR(I397="",J397="Done"),"",IF(I397&lt;TODAY(),"OVERDUE",""))</f>
        <v/>
      </c>
      <c r="S397" s="23" t="n"/>
    </row>
    <row r="398">
      <c r="A398" s="23" t="n"/>
      <c r="B398" s="23" t="n"/>
      <c r="C398" s="23" t="n"/>
      <c r="D398" s="23" t="n"/>
      <c r="E398" s="23" t="n"/>
      <c r="F398" s="23" t="n"/>
      <c r="G398" s="23">
        <f>IF(F398="","",IF(F398="All","Whole team",IFERROR(INDEX(Team!$B$5:$B$10,MATCH(F398,Team!$A$5:$A$10,0)),"")))</f>
        <v/>
      </c>
      <c r="H398" s="26" t="n"/>
      <c r="I398" s="26" t="n"/>
      <c r="J398" s="27" t="n"/>
      <c r="K398" s="28" t="n"/>
      <c r="L398" s="23" t="n"/>
      <c r="M398" s="23" t="n"/>
      <c r="N398" s="27" t="n"/>
      <c r="O398" s="29" t="n"/>
      <c r="P398" s="27" t="n"/>
      <c r="Q398" s="27" t="n"/>
      <c r="R398" s="23">
        <f>IF(OR(I398="",J398="Done"),"",IF(I398&lt;TODAY(),"OVERDUE",""))</f>
        <v/>
      </c>
      <c r="S398" s="23" t="n"/>
    </row>
    <row r="399">
      <c r="A399" s="23" t="n"/>
      <c r="B399" s="23" t="n"/>
      <c r="C399" s="23" t="n"/>
      <c r="D399" s="23" t="n"/>
      <c r="E399" s="23" t="n"/>
      <c r="F399" s="23" t="n"/>
      <c r="G399" s="23">
        <f>IF(F399="","",IF(F399="All","Whole team",IFERROR(INDEX(Team!$B$5:$B$10,MATCH(F399,Team!$A$5:$A$10,0)),"")))</f>
        <v/>
      </c>
      <c r="H399" s="26" t="n"/>
      <c r="I399" s="26" t="n"/>
      <c r="J399" s="27" t="n"/>
      <c r="K399" s="28" t="n"/>
      <c r="L399" s="23" t="n"/>
      <c r="M399" s="23" t="n"/>
      <c r="N399" s="27" t="n"/>
      <c r="O399" s="29" t="n"/>
      <c r="P399" s="27" t="n"/>
      <c r="Q399" s="27" t="n"/>
      <c r="R399" s="23">
        <f>IF(OR(I399="",J399="Done"),"",IF(I399&lt;TODAY(),"OVERDUE",""))</f>
        <v/>
      </c>
      <c r="S399" s="23" t="n"/>
    </row>
    <row r="400">
      <c r="A400" s="23" t="n"/>
      <c r="B400" s="23" t="n"/>
      <c r="C400" s="23" t="n"/>
      <c r="D400" s="23" t="n"/>
      <c r="E400" s="23" t="n"/>
      <c r="F400" s="23" t="n"/>
      <c r="G400" s="23">
        <f>IF(F400="","",IF(F400="All","Whole team",IFERROR(INDEX(Team!$B$5:$B$10,MATCH(F400,Team!$A$5:$A$10,0)),"")))</f>
        <v/>
      </c>
      <c r="H400" s="26" t="n"/>
      <c r="I400" s="26" t="n"/>
      <c r="J400" s="27" t="n"/>
      <c r="K400" s="28" t="n"/>
      <c r="L400" s="23" t="n"/>
      <c r="M400" s="23" t="n"/>
      <c r="N400" s="27" t="n"/>
      <c r="O400" s="29" t="n"/>
      <c r="P400" s="27" t="n"/>
      <c r="Q400" s="27" t="n"/>
      <c r="R400" s="23">
        <f>IF(OR(I400="",J400="Done"),"",IF(I400&lt;TODAY(),"OVERDUE",""))</f>
        <v/>
      </c>
      <c r="S400" s="23" t="n"/>
    </row>
  </sheetData>
  <autoFilter ref="A1:S400"/>
  <conditionalFormatting sqref="J2:J4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conditionalFormatting sqref="R2:R400">
    <cfRule type="cellIs" priority="7" operator="equal" dxfId="5">
      <formula>"OVERDUE"</formula>
    </cfRule>
  </conditionalFormatting>
  <conditionalFormatting sqref="L2:L400">
    <cfRule type="cellIs" priority="8" operator="equal" dxfId="6">
      <formula>"Critical"</formula>
    </cfRule>
  </conditionalFormatting>
  <conditionalFormatting sqref="K2:K400">
    <cfRule type="dataBar" priority="9">
      <dataBar>
        <cfvo type="num" val="0"/>
        <cfvo type="num" val="1"/>
        <color rgb="005B9BD5"/>
      </dataBar>
    </cfRule>
  </conditionalFormatting>
  <dataValidations count="5">
    <dataValidation sqref="J2:J400" showDropDown="0" showInputMessage="0" showErrorMessage="0" allowBlank="1" type="list">
      <formula1>"Not Started,In Progress,In Review,Blocked,Done"</formula1>
    </dataValidation>
    <dataValidation sqref="F2:F400" showDropDown="0" showInputMessage="0" showErrorMessage="0" allowBlank="1" type="list">
      <formula1>"Domain &amp; Product Lead,Knowledge &amp; Memory,Agents &amp; Orchestration,Tools &amp; Security,Eval &amp; Red-Team,Deploy &amp; Ops,All"</formula1>
    </dataValidation>
    <dataValidation sqref="L2:L400" showDropDown="0" showInputMessage="0" showErrorMessage="0" allowBlank="1" type="list">
      <formula1>"Critical,High,Medium,Low"</formula1>
    </dataValidation>
    <dataValidation sqref="C2:C400" showDropDown="0" showInputMessage="0" showErrorMessage="0" allowBlank="1" type="list">
      <formula1>"Project Mgmt,Domain/Product,L4–L6 Retrieval,L7 Tools/MCP,L8 Orchestration,L9 Memory,L10 Planning,L11 Multi-agent,L12 Improvement,L13 Evaluation,L14 Human control,L15 Security,L16 Deployment"</formula1>
    </dataValidation>
    <dataValidation sqref="B2:B400" showDropDown="0" showInputMessage="0" showErrorMessage="0" allowBlank="1" type="list">
      <formula1>"P0 Setup &amp; Planning,P1 Foundations,P2 Minimum Bar End-to-End,P3 Signature Challenges + Eval,P4 Experiments &amp; Report,P5 Demo &amp; Submission"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J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34" customWidth="1" min="4" max="4"/>
    <col width="34" customWidth="1" min="5" max="5"/>
    <col width="12" customWidth="1" min="6" max="6"/>
    <col width="20" customWidth="1" min="7" max="7"/>
    <col width="7" customWidth="1" min="8" max="8"/>
    <col width="30" customWidth="1" min="9" max="9"/>
    <col width="26" customWidth="1" min="10" max="10"/>
  </cols>
  <sheetData>
    <row r="1">
      <c r="A1" s="30">
        <f>"Daily Log — "&amp;IFERROR(INDEX(Team!$B$5:$B$10,1),"")&amp;" (Domain &amp; Product Lead)"</f>
        <v/>
      </c>
    </row>
    <row r="2">
      <c r="A2" s="2" t="inlineStr">
        <is>
          <t>Layers: — · Problem statement, persona, policy wording, tariff table, synthetic claims, held-out check, demo script</t>
        </is>
      </c>
    </row>
    <row r="3">
      <c r="A3" s="31" t="inlineStr">
        <is>
          <t>Updates logged:</t>
        </is>
      </c>
      <c r="B3" s="32">
        <f>COUNT(A6:A500)</f>
        <v/>
      </c>
      <c r="C3" s="31" t="inlineStr">
        <is>
          <t>Open problems:</t>
        </is>
      </c>
      <c r="D3" s="32">
        <f>COUNTIF(F6:F500,"Open")</f>
        <v/>
      </c>
      <c r="E3" s="31" t="inlineStr">
        <is>
          <t>Hours logged:</t>
        </is>
      </c>
      <c r="F3" s="32">
        <f>SUM(H6:H500)</f>
        <v/>
      </c>
      <c r="G3" s="31" t="inlineStr">
        <is>
          <t>My open tasks:</t>
        </is>
      </c>
      <c r="H3" s="32">
        <f>COUNTIFS('Master Tasks'!$F$2:$F$400,"Domain &amp; Product Lead",'Master Tasks'!$J$2:$J$400,"&lt;&gt;Done")</f>
        <v/>
      </c>
    </row>
    <row r="5">
      <c r="A5" s="13" t="inlineStr">
        <is>
          <t>Date</t>
        </is>
      </c>
      <c r="B5" s="13" t="inlineStr">
        <is>
          <t>Task ID</t>
        </is>
      </c>
      <c r="C5" s="13" t="inlineStr">
        <is>
          <t>What I Did</t>
        </is>
      </c>
      <c r="D5" s="13" t="inlineStr">
        <is>
          <t>Plan Next</t>
        </is>
      </c>
      <c r="E5" s="13" t="inlineStr">
        <is>
          <t>Problem / Blocker</t>
        </is>
      </c>
      <c r="F5" s="13" t="inlineStr">
        <is>
          <t>Problem Status</t>
        </is>
      </c>
      <c r="G5" s="13" t="inlineStr">
        <is>
          <t>Help Needed From</t>
        </is>
      </c>
      <c r="H5" s="13" t="inlineStr">
        <is>
          <t>Hours</t>
        </is>
      </c>
      <c r="I5" s="13" t="inlineStr">
        <is>
          <t>Evidence Link (PR / Issue / Doc)</t>
        </is>
      </c>
      <c r="J5" s="13" t="inlineStr">
        <is>
          <t>Handoff Others Are Waiting On</t>
        </is>
      </c>
    </row>
    <row r="6">
      <c r="A6" s="33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</row>
    <row r="8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>
      <c r="A11" s="33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>
      <c r="A12" s="33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>
      <c r="A24" s="33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>
      <c r="A25" s="33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>
      <c r="A36" s="33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>
      <c r="A37" s="33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>
      <c r="A39" s="33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>
      <c r="A40" s="33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>
      <c r="A41" s="33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>
      <c r="A43" s="33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>
      <c r="A44" s="33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>
      <c r="A45" s="33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>
      <c r="A46" s="33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>
      <c r="A47" s="33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>
      <c r="A49" s="33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>
      <c r="A50" s="33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>
      <c r="A51" s="3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>
      <c r="A52" s="33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>
      <c r="A53" s="33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>
      <c r="A55" s="33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>
      <c r="A56" s="33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>
      <c r="A57" s="33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>
      <c r="A58" s="33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>
      <c r="A59" s="33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>
      <c r="A60" s="3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3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3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3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3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3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3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3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3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3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3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3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3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3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3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3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3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3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3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3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3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3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3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3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3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3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3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3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3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3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3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3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3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3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3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3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3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3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3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3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3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3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3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3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3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3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3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3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3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3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3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3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3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3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3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3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3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3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3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3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3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3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3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3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3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3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3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3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3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3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3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3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3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3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3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3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3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3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3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3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3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3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3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3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3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3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3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3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3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3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3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3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3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3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3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3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3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3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3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3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3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3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3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3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3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3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3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3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3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3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3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3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3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3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3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3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3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3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3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3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3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3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3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3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3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3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3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3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3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3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3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3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3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3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3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3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3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3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3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3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3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3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3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3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3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3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3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3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3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3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3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3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3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3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3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3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3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3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3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3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3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3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3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3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3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3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3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3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3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3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3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3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3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3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3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3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3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3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3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3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3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3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3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3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3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3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3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3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3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3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3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3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3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3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3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3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3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3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3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3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3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3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3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3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3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3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3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3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3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3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3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3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3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3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3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3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3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3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3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3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3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3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3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3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3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3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3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3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3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3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3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3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3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3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3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3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3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3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3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3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3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3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3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3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3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3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3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3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3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3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3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3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3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3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3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3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3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3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3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3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3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3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3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3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3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3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3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3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3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3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3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3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3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3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3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3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3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3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3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3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3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3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3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3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3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3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3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3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3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3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3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3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3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3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3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3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3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3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3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3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3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3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3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3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3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3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3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3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3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3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3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3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3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3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3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3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3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3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3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3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3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3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3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3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3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3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3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3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3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3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3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3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35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35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35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35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35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35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35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35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35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35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35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35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35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35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35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35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35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35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35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35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35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35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35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35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35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35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35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35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35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35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35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35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35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35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35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35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35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35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35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35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35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35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35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35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35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35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35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35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35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35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35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35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35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35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35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35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35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35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35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35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35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35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35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35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3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</sheetData>
  <conditionalFormatting sqref="F6:F5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dataValidations count="2">
    <dataValidation sqref="F6:F500" showDropDown="0" showInputMessage="0" showErrorMessage="0" allowBlank="1" type="list">
      <formula1>"None,Open,Resolved"</formula1>
    </dataValidation>
    <dataValidation sqref="G6:G5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J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34" customWidth="1" min="4" max="4"/>
    <col width="34" customWidth="1" min="5" max="5"/>
    <col width="12" customWidth="1" min="6" max="6"/>
    <col width="20" customWidth="1" min="7" max="7"/>
    <col width="7" customWidth="1" min="8" max="8"/>
    <col width="30" customWidth="1" min="9" max="9"/>
    <col width="26" customWidth="1" min="10" max="10"/>
  </cols>
  <sheetData>
    <row r="1">
      <c r="A1" s="30">
        <f>"Daily Log — "&amp;IFERROR(INDEX(Team!$B$5:$B$10,2),"")&amp;" (Knowledge &amp; Memory)"</f>
        <v/>
      </c>
    </row>
    <row r="2">
      <c r="A2" s="2" t="inlineStr">
        <is>
          <t>Layers: L4–L6, L9 · Ingestion, hybrid retrieval + reranker, claim-history memory, lesson store, memory policy</t>
        </is>
      </c>
    </row>
    <row r="3">
      <c r="A3" s="31" t="inlineStr">
        <is>
          <t>Updates logged:</t>
        </is>
      </c>
      <c r="B3" s="32">
        <f>COUNT(A6:A500)</f>
        <v/>
      </c>
      <c r="C3" s="31" t="inlineStr">
        <is>
          <t>Open problems:</t>
        </is>
      </c>
      <c r="D3" s="32">
        <f>COUNTIF(F6:F500,"Open")</f>
        <v/>
      </c>
      <c r="E3" s="31" t="inlineStr">
        <is>
          <t>Hours logged:</t>
        </is>
      </c>
      <c r="F3" s="32">
        <f>SUM(H6:H500)</f>
        <v/>
      </c>
      <c r="G3" s="31" t="inlineStr">
        <is>
          <t>My open tasks:</t>
        </is>
      </c>
      <c r="H3" s="32">
        <f>COUNTIFS('Master Tasks'!$F$2:$F$400,"Knowledge &amp; Memory",'Master Tasks'!$J$2:$J$400,"&lt;&gt;Done")</f>
        <v/>
      </c>
    </row>
    <row r="5">
      <c r="A5" s="13" t="inlineStr">
        <is>
          <t>Date</t>
        </is>
      </c>
      <c r="B5" s="13" t="inlineStr">
        <is>
          <t>Task ID</t>
        </is>
      </c>
      <c r="C5" s="13" t="inlineStr">
        <is>
          <t>What I Did</t>
        </is>
      </c>
      <c r="D5" s="13" t="inlineStr">
        <is>
          <t>Plan Next</t>
        </is>
      </c>
      <c r="E5" s="13" t="inlineStr">
        <is>
          <t>Problem / Blocker</t>
        </is>
      </c>
      <c r="F5" s="13" t="inlineStr">
        <is>
          <t>Problem Status</t>
        </is>
      </c>
      <c r="G5" s="13" t="inlineStr">
        <is>
          <t>Help Needed From</t>
        </is>
      </c>
      <c r="H5" s="13" t="inlineStr">
        <is>
          <t>Hours</t>
        </is>
      </c>
      <c r="I5" s="13" t="inlineStr">
        <is>
          <t>Evidence Link (PR / Issue / Doc)</t>
        </is>
      </c>
      <c r="J5" s="13" t="inlineStr">
        <is>
          <t>Handoff Others Are Waiting On</t>
        </is>
      </c>
    </row>
    <row r="6">
      <c r="A6" s="33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</row>
    <row r="8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>
      <c r="A11" s="33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>
      <c r="A12" s="33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>
      <c r="A24" s="33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>
      <c r="A25" s="33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>
      <c r="A36" s="33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>
      <c r="A37" s="33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>
      <c r="A39" s="33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>
      <c r="A40" s="33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>
      <c r="A41" s="33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>
      <c r="A43" s="33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>
      <c r="A44" s="33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>
      <c r="A45" s="33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>
      <c r="A46" s="33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>
      <c r="A47" s="33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>
      <c r="A49" s="33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>
      <c r="A50" s="33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>
      <c r="A51" s="3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>
      <c r="A52" s="33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>
      <c r="A53" s="33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>
      <c r="A55" s="33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>
      <c r="A56" s="33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>
      <c r="A57" s="33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>
      <c r="A58" s="33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>
      <c r="A59" s="33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>
      <c r="A60" s="3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3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3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3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3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3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3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3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3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3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3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3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3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3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3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3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3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3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3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3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3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3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3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3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3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3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3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3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3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3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3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3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3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3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3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3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3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3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3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3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3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3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3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3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3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3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3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3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3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3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3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3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3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3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3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3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3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3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3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3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3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3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3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3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3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3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3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3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3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3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3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3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3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3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3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3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3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3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3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3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3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3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3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3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3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3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3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3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3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3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3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3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3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3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3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3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3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3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3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3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3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3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3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3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3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3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3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3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3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3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3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3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3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3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3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3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3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3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3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3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3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3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3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3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3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3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3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3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3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3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3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3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3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3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3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3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3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3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3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3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3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3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3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3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3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3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3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3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3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3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3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3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3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3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3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3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3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3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3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3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3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3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3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3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3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3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3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3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3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3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3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3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3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3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3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3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3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3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3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3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3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3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3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3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3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3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3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3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3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3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3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3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3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3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3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3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3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3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3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3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3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3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3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3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3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3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3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3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3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3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3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3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3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3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3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3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3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3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3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3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3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3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3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3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3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3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3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3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3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3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3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3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3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3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3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3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3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3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3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3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3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3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3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3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3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3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3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3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3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3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3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3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3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3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3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3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3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3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3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3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3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3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3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3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3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3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3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3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3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3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3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3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3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3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3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3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3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3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3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3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3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3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3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3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3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3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3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3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3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3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3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3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3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3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3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3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3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3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3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3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3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3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3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3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3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3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3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3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3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3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3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3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3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3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3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3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3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3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3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3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3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3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3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3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3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3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3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3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3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3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3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3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35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35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35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35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35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35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35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35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35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35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35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35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35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35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35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35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35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35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35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35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35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35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35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35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35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35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35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35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35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35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35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35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35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35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35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35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35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35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35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35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35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35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35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35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35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35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35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35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35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35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35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35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35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35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35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35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35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35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35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35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35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35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35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35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3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</sheetData>
  <conditionalFormatting sqref="F6:F5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dataValidations count="2">
    <dataValidation sqref="F6:F500" showDropDown="0" showInputMessage="0" showErrorMessage="0" allowBlank="1" type="list">
      <formula1>"None,Open,Resolved"</formula1>
    </dataValidation>
    <dataValidation sqref="G6:G5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J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34" customWidth="1" min="4" max="4"/>
    <col width="34" customWidth="1" min="5" max="5"/>
    <col width="12" customWidth="1" min="6" max="6"/>
    <col width="20" customWidth="1" min="7" max="7"/>
    <col width="7" customWidth="1" min="8" max="8"/>
    <col width="30" customWidth="1" min="9" max="9"/>
    <col width="26" customWidth="1" min="10" max="10"/>
  </cols>
  <sheetData>
    <row r="1">
      <c r="A1" s="30">
        <f>"Daily Log — "&amp;IFERROR(INDEX(Team!$B$5:$B$10,3),"")&amp;" (Agents &amp; Orchestration)"</f>
        <v/>
      </c>
    </row>
    <row r="2">
      <c r="A2" s="2" t="inlineStr">
        <is>
          <t>Layers: L8, L10–L12 · LangGraph graph, planner, 5 specialist agents, critic loop, Reflexion playbook</t>
        </is>
      </c>
    </row>
    <row r="3">
      <c r="A3" s="31" t="inlineStr">
        <is>
          <t>Updates logged:</t>
        </is>
      </c>
      <c r="B3" s="32">
        <f>COUNT(A6:A500)</f>
        <v/>
      </c>
      <c r="C3" s="31" t="inlineStr">
        <is>
          <t>Open problems:</t>
        </is>
      </c>
      <c r="D3" s="32">
        <f>COUNTIF(F6:F500,"Open")</f>
        <v/>
      </c>
      <c r="E3" s="31" t="inlineStr">
        <is>
          <t>Hours logged:</t>
        </is>
      </c>
      <c r="F3" s="32">
        <f>SUM(H6:H500)</f>
        <v/>
      </c>
      <c r="G3" s="31" t="inlineStr">
        <is>
          <t>My open tasks:</t>
        </is>
      </c>
      <c r="H3" s="32">
        <f>COUNTIFS('Master Tasks'!$F$2:$F$400,"Agents &amp; Orchestration",'Master Tasks'!$J$2:$J$400,"&lt;&gt;Done")</f>
        <v/>
      </c>
    </row>
    <row r="5">
      <c r="A5" s="13" t="inlineStr">
        <is>
          <t>Date</t>
        </is>
      </c>
      <c r="B5" s="13" t="inlineStr">
        <is>
          <t>Task ID</t>
        </is>
      </c>
      <c r="C5" s="13" t="inlineStr">
        <is>
          <t>What I Did</t>
        </is>
      </c>
      <c r="D5" s="13" t="inlineStr">
        <is>
          <t>Plan Next</t>
        </is>
      </c>
      <c r="E5" s="13" t="inlineStr">
        <is>
          <t>Problem / Blocker</t>
        </is>
      </c>
      <c r="F5" s="13" t="inlineStr">
        <is>
          <t>Problem Status</t>
        </is>
      </c>
      <c r="G5" s="13" t="inlineStr">
        <is>
          <t>Help Needed From</t>
        </is>
      </c>
      <c r="H5" s="13" t="inlineStr">
        <is>
          <t>Hours</t>
        </is>
      </c>
      <c r="I5" s="13" t="inlineStr">
        <is>
          <t>Evidence Link (PR / Issue / Doc)</t>
        </is>
      </c>
      <c r="J5" s="13" t="inlineStr">
        <is>
          <t>Handoff Others Are Waiting On</t>
        </is>
      </c>
    </row>
    <row r="6">
      <c r="A6" s="33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</row>
    <row r="8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>
      <c r="A11" s="33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>
      <c r="A12" s="33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>
      <c r="A24" s="33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>
      <c r="A25" s="33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>
      <c r="A36" s="33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>
      <c r="A37" s="33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>
      <c r="A39" s="33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>
      <c r="A40" s="33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>
      <c r="A41" s="33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>
      <c r="A43" s="33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>
      <c r="A44" s="33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>
      <c r="A45" s="33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>
      <c r="A46" s="33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>
      <c r="A47" s="33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>
      <c r="A49" s="33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>
      <c r="A50" s="33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>
      <c r="A51" s="3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>
      <c r="A52" s="33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>
      <c r="A53" s="33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>
      <c r="A55" s="33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>
      <c r="A56" s="33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>
      <c r="A57" s="33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>
      <c r="A58" s="33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>
      <c r="A59" s="33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>
      <c r="A60" s="3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3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3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3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3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3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3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3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3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3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3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3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3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3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3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3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3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3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3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3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3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3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3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3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3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3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3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3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3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3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3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3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3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3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3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3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3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3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3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3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3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3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3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3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3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3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3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3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3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3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3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3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3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3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3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3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3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3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3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3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3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3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3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3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3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3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3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3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3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3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3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3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3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3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3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3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3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3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3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3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3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3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3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3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3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3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3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3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3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3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3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3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3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3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3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3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3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3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3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3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3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3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3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3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3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3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3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3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3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3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3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3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3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3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3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3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3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3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3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3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3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3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3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3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3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3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3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3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3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3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3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3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3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3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3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3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3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3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3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3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3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3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3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3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3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3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3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3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3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3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3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3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3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3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3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3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3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3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3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3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3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3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3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3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3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3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3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3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3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3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3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3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3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3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3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3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3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3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3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3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3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3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3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3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3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3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3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3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3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3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3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3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3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3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3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3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3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3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3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3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3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3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3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3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3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3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3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3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3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3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3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3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3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3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3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3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3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3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3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3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3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3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3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3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3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3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3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3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3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3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3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3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3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3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3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3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3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3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3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3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3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3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3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3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3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3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3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3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3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3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3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3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3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3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3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3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3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3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3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3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3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3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3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3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3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3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3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3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3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3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3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3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3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3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3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3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3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3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3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3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3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3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3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3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3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3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3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3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3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3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3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3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3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3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3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3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3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3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3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3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3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3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3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3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3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3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3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3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3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3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3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3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3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3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3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3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3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3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3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3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3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3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3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3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3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3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3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3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3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3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3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3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35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35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35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35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35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35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35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35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35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35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35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35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35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35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35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35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35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35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35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35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35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35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35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35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35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35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35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35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35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35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35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35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35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35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35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35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35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35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35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35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35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35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35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35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35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35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35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35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35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35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35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35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35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35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35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35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35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35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35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35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35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35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35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35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3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</sheetData>
  <conditionalFormatting sqref="F6:F5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dataValidations count="2">
    <dataValidation sqref="F6:F500" showDropDown="0" showInputMessage="0" showErrorMessage="0" allowBlank="1" type="list">
      <formula1>"None,Open,Resolved"</formula1>
    </dataValidation>
    <dataValidation sqref="G6:G5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J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34" customWidth="1" min="4" max="4"/>
    <col width="34" customWidth="1" min="5" max="5"/>
    <col width="12" customWidth="1" min="6" max="6"/>
    <col width="20" customWidth="1" min="7" max="7"/>
    <col width="7" customWidth="1" min="8" max="8"/>
    <col width="30" customWidth="1" min="9" max="9"/>
    <col width="26" customWidth="1" min="10" max="10"/>
  </cols>
  <sheetData>
    <row r="1">
      <c r="A1" s="30">
        <f>"Daily Log — "&amp;IFERROR(INDEX(Team!$B$5:$B$10,4),"")&amp;" (Tools &amp; Security)"</f>
        <v/>
      </c>
    </row>
    <row r="2">
      <c r="A2" s="2" t="inlineStr">
        <is>
          <t>Layers: L7, L14, L15 · 4 MCP servers, adjudication calculator, hooks, approval gate, guardrails, threat model</t>
        </is>
      </c>
    </row>
    <row r="3">
      <c r="A3" s="31" t="inlineStr">
        <is>
          <t>Updates logged:</t>
        </is>
      </c>
      <c r="B3" s="32">
        <f>COUNT(A6:A500)</f>
        <v/>
      </c>
      <c r="C3" s="31" t="inlineStr">
        <is>
          <t>Open problems:</t>
        </is>
      </c>
      <c r="D3" s="32">
        <f>COUNTIF(F6:F500,"Open")</f>
        <v/>
      </c>
      <c r="E3" s="31" t="inlineStr">
        <is>
          <t>Hours logged:</t>
        </is>
      </c>
      <c r="F3" s="32">
        <f>SUM(H6:H500)</f>
        <v/>
      </c>
      <c r="G3" s="31" t="inlineStr">
        <is>
          <t>My open tasks:</t>
        </is>
      </c>
      <c r="H3" s="32">
        <f>COUNTIFS('Master Tasks'!$F$2:$F$400,"Tools &amp; Security",'Master Tasks'!$J$2:$J$400,"&lt;&gt;Done")</f>
        <v/>
      </c>
    </row>
    <row r="5">
      <c r="A5" s="13" t="inlineStr">
        <is>
          <t>Date</t>
        </is>
      </c>
      <c r="B5" s="13" t="inlineStr">
        <is>
          <t>Task ID</t>
        </is>
      </c>
      <c r="C5" s="13" t="inlineStr">
        <is>
          <t>What I Did</t>
        </is>
      </c>
      <c r="D5" s="13" t="inlineStr">
        <is>
          <t>Plan Next</t>
        </is>
      </c>
      <c r="E5" s="13" t="inlineStr">
        <is>
          <t>Problem / Blocker</t>
        </is>
      </c>
      <c r="F5" s="13" t="inlineStr">
        <is>
          <t>Problem Status</t>
        </is>
      </c>
      <c r="G5" s="13" t="inlineStr">
        <is>
          <t>Help Needed From</t>
        </is>
      </c>
      <c r="H5" s="13" t="inlineStr">
        <is>
          <t>Hours</t>
        </is>
      </c>
      <c r="I5" s="13" t="inlineStr">
        <is>
          <t>Evidence Link (PR / Issue / Doc)</t>
        </is>
      </c>
      <c r="J5" s="13" t="inlineStr">
        <is>
          <t>Handoff Others Are Waiting On</t>
        </is>
      </c>
    </row>
    <row r="6">
      <c r="A6" s="33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</row>
    <row r="8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>
      <c r="A11" s="33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>
      <c r="A12" s="33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>
      <c r="A24" s="33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>
      <c r="A25" s="33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>
      <c r="A36" s="33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>
      <c r="A37" s="33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>
      <c r="A39" s="33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>
      <c r="A40" s="33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>
      <c r="A41" s="33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>
      <c r="A43" s="33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>
      <c r="A44" s="33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>
      <c r="A45" s="33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>
      <c r="A46" s="33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>
      <c r="A47" s="33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>
      <c r="A49" s="33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>
      <c r="A50" s="33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>
      <c r="A51" s="3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>
      <c r="A52" s="33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>
      <c r="A53" s="33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>
      <c r="A55" s="33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>
      <c r="A56" s="33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>
      <c r="A57" s="33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>
      <c r="A58" s="33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>
      <c r="A59" s="33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>
      <c r="A60" s="3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3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3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3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3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3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3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3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3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3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3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3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3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3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3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3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3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3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3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3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3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3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3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3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3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3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3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3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3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3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3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3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3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3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3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3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3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3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3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3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3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3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3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3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3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3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3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3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3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3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3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3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3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3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3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3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3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3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3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3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3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3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3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3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3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3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3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3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3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3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3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3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3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3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3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3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3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3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3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3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3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3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3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3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3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3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3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3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3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3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3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3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3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3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3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3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3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3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3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3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3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3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3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3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3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3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3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3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3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3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3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3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3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3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3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3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3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3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3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3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3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3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3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3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3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3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3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3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3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3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3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3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3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3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3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3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3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3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3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3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3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3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3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3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3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3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3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3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3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3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3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3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3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3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3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3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3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3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3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3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3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3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3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3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3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3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3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3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3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3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3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3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3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3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3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3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3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3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3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3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3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3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3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3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3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3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3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3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3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3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3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3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3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3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3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3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3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3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3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3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3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3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3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3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3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3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3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3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3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3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3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3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3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3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3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3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3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3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3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3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3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3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3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3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3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3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3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3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3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3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3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3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3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3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3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3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3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3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3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3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3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3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3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3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3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3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3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3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3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3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3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3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3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3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3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3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3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3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3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3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3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3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3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3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3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3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3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3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3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3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3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3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3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3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3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3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3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3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3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3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3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3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3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3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3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3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3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3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3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3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3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3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3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3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3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3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3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3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3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3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3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3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3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3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3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3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3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3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3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3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3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3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3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3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3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3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3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3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3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3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3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3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3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3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3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3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3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3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3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3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3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3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35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35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35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35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35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35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35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35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35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35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35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35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35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35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35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35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35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35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35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35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35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35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35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35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35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35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35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35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35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35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35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35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35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35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35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35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35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35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35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35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35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35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35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35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35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35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35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35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35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35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35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35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35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35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35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35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35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35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35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35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35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35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35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35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3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</sheetData>
  <conditionalFormatting sqref="F6:F5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dataValidations count="2">
    <dataValidation sqref="F6:F500" showDropDown="0" showInputMessage="0" showErrorMessage="0" allowBlank="1" type="list">
      <formula1>"None,Open,Resolved"</formula1>
    </dataValidation>
    <dataValidation sqref="G6:G5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J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34" customWidth="1" min="4" max="4"/>
    <col width="34" customWidth="1" min="5" max="5"/>
    <col width="12" customWidth="1" min="6" max="6"/>
    <col width="20" customWidth="1" min="7" max="7"/>
    <col width="7" customWidth="1" min="8" max="8"/>
    <col width="30" customWidth="1" min="9" max="9"/>
    <col width="26" customWidth="1" min="10" max="10"/>
  </cols>
  <sheetData>
    <row r="1">
      <c r="A1" s="30">
        <f>"Daily Log — "&amp;IFERROR(INDEX(Team!$B$5:$B$10,5),"")&amp;" (Eval &amp; Red-Team)"</f>
        <v/>
      </c>
    </row>
    <row r="2">
      <c r="A2" s="2" t="inlineStr">
        <is>
          <t>Layers: L13 harness, L15 evals · Golden set (80 claims), harness, judge calibration, red-team suite, E1–E4, eval report</t>
        </is>
      </c>
    </row>
    <row r="3">
      <c r="A3" s="31" t="inlineStr">
        <is>
          <t>Updates logged:</t>
        </is>
      </c>
      <c r="B3" s="32">
        <f>COUNT(A6:A500)</f>
        <v/>
      </c>
      <c r="C3" s="31" t="inlineStr">
        <is>
          <t>Open problems:</t>
        </is>
      </c>
      <c r="D3" s="32">
        <f>COUNTIF(F6:F500,"Open")</f>
        <v/>
      </c>
      <c r="E3" s="31" t="inlineStr">
        <is>
          <t>Hours logged:</t>
        </is>
      </c>
      <c r="F3" s="32">
        <f>SUM(H6:H500)</f>
        <v/>
      </c>
      <c r="G3" s="31" t="inlineStr">
        <is>
          <t>My open tasks:</t>
        </is>
      </c>
      <c r="H3" s="32">
        <f>COUNTIFS('Master Tasks'!$F$2:$F$400,"Eval &amp; Red-Team",'Master Tasks'!$J$2:$J$400,"&lt;&gt;Done")</f>
        <v/>
      </c>
    </row>
    <row r="5">
      <c r="A5" s="13" t="inlineStr">
        <is>
          <t>Date</t>
        </is>
      </c>
      <c r="B5" s="13" t="inlineStr">
        <is>
          <t>Task ID</t>
        </is>
      </c>
      <c r="C5" s="13" t="inlineStr">
        <is>
          <t>What I Did</t>
        </is>
      </c>
      <c r="D5" s="13" t="inlineStr">
        <is>
          <t>Plan Next</t>
        </is>
      </c>
      <c r="E5" s="13" t="inlineStr">
        <is>
          <t>Problem / Blocker</t>
        </is>
      </c>
      <c r="F5" s="13" t="inlineStr">
        <is>
          <t>Problem Status</t>
        </is>
      </c>
      <c r="G5" s="13" t="inlineStr">
        <is>
          <t>Help Needed From</t>
        </is>
      </c>
      <c r="H5" s="13" t="inlineStr">
        <is>
          <t>Hours</t>
        </is>
      </c>
      <c r="I5" s="13" t="inlineStr">
        <is>
          <t>Evidence Link (PR / Issue / Doc)</t>
        </is>
      </c>
      <c r="J5" s="13" t="inlineStr">
        <is>
          <t>Handoff Others Are Waiting On</t>
        </is>
      </c>
    </row>
    <row r="6">
      <c r="A6" s="33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</row>
    <row r="8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>
      <c r="A11" s="33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>
      <c r="A12" s="33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>
      <c r="A24" s="33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>
      <c r="A25" s="33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>
      <c r="A36" s="33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>
      <c r="A37" s="33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>
      <c r="A39" s="33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>
      <c r="A40" s="33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>
      <c r="A41" s="33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>
      <c r="A43" s="33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>
      <c r="A44" s="33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>
      <c r="A45" s="33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>
      <c r="A46" s="33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>
      <c r="A47" s="33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>
      <c r="A49" s="33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>
      <c r="A50" s="33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>
      <c r="A51" s="3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>
      <c r="A52" s="33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>
      <c r="A53" s="33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>
      <c r="A55" s="33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>
      <c r="A56" s="33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>
      <c r="A57" s="33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>
      <c r="A58" s="33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>
      <c r="A59" s="33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>
      <c r="A60" s="3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3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3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3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3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3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3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3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3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3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3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3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3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3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3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3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3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3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3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3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3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3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3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3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3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3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3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3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3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3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3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3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3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3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3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3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3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3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3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3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3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3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3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3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3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3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3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3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3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3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3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3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3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3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3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3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3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3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3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3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3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3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3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3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3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3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3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3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3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3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3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3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3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3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3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3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3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3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3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3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3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3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3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3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3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3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3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3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3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3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3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3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3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3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3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3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3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3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3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3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3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3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3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3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3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3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3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3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3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3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3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3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3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3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3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3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3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3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3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3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3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3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3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3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3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3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3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3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3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3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3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3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3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3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3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3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3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3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3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3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3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3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3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3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3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3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3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3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3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3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3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3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3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3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3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3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3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3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3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3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3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3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3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3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3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3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3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3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3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3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3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3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3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3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3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3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3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3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3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3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3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3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3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3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3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3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3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3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3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3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3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3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3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3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3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3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3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3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3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3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3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3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3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3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3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3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3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3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3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3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3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3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3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3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3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3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3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3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3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3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3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3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3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3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3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3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3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3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3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3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3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3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3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3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3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3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3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3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3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3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3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3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3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3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3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3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3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3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3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3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3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3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3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3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3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3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3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3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3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3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3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3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3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3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3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3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3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3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3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3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3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3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3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3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3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3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3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3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3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3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3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3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3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3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3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3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3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3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3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3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3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3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3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3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3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3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3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3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3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3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3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3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3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3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3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3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3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3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3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3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3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3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3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3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3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3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3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3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3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3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3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3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3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3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3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3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3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3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3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3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3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3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35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35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35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35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35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35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35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35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35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35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35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35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35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35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35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35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35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35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35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35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35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35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35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35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35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35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35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35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35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35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35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35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35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35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35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35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35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35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35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35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35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35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35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35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35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35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35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35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35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35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35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35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35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35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35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35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35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35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35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35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35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35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35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35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3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</sheetData>
  <conditionalFormatting sqref="F6:F5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dataValidations count="2">
    <dataValidation sqref="F6:F500" showDropDown="0" showInputMessage="0" showErrorMessage="0" allowBlank="1" type="list">
      <formula1>"None,Open,Resolved"</formula1>
    </dataValidation>
    <dataValidation sqref="G6:G5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J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34" customWidth="1" min="4" max="4"/>
    <col width="34" customWidth="1" min="5" max="5"/>
    <col width="12" customWidth="1" min="6" max="6"/>
    <col width="20" customWidth="1" min="7" max="7"/>
    <col width="7" customWidth="1" min="8" max="8"/>
    <col width="30" customWidth="1" min="9" max="9"/>
    <col width="26" customWidth="1" min="10" max="10"/>
  </cols>
  <sheetData>
    <row r="1">
      <c r="A1" s="30">
        <f>"Daily Log — "&amp;IFERROR(INDEX(Team!$B$5:$B$10,6),"")&amp;" (Deploy &amp; Ops)"</f>
        <v/>
      </c>
    </row>
    <row r="2">
      <c r="A2" s="2" t="inlineStr">
        <is>
          <t>Layers: L13 CI gate, L16 · FastAPI + UI, Docker Compose, CI eval gate, tracing, Grafana, alerts</t>
        </is>
      </c>
    </row>
    <row r="3">
      <c r="A3" s="31" t="inlineStr">
        <is>
          <t>Updates logged:</t>
        </is>
      </c>
      <c r="B3" s="32">
        <f>COUNT(A6:A500)</f>
        <v/>
      </c>
      <c r="C3" s="31" t="inlineStr">
        <is>
          <t>Open problems:</t>
        </is>
      </c>
      <c r="D3" s="32">
        <f>COUNTIF(F6:F500,"Open")</f>
        <v/>
      </c>
      <c r="E3" s="31" t="inlineStr">
        <is>
          <t>Hours logged:</t>
        </is>
      </c>
      <c r="F3" s="32">
        <f>SUM(H6:H500)</f>
        <v/>
      </c>
      <c r="G3" s="31" t="inlineStr">
        <is>
          <t>My open tasks:</t>
        </is>
      </c>
      <c r="H3" s="32">
        <f>COUNTIFS('Master Tasks'!$F$2:$F$400,"Deploy &amp; Ops",'Master Tasks'!$J$2:$J$400,"&lt;&gt;Done")</f>
        <v/>
      </c>
    </row>
    <row r="5">
      <c r="A5" s="13" t="inlineStr">
        <is>
          <t>Date</t>
        </is>
      </c>
      <c r="B5" s="13" t="inlineStr">
        <is>
          <t>Task ID</t>
        </is>
      </c>
      <c r="C5" s="13" t="inlineStr">
        <is>
          <t>What I Did</t>
        </is>
      </c>
      <c r="D5" s="13" t="inlineStr">
        <is>
          <t>Plan Next</t>
        </is>
      </c>
      <c r="E5" s="13" t="inlineStr">
        <is>
          <t>Problem / Blocker</t>
        </is>
      </c>
      <c r="F5" s="13" t="inlineStr">
        <is>
          <t>Problem Status</t>
        </is>
      </c>
      <c r="G5" s="13" t="inlineStr">
        <is>
          <t>Help Needed From</t>
        </is>
      </c>
      <c r="H5" s="13" t="inlineStr">
        <is>
          <t>Hours</t>
        </is>
      </c>
      <c r="I5" s="13" t="inlineStr">
        <is>
          <t>Evidence Link (PR / Issue / Doc)</t>
        </is>
      </c>
      <c r="J5" s="13" t="inlineStr">
        <is>
          <t>Handoff Others Are Waiting On</t>
        </is>
      </c>
    </row>
    <row r="6">
      <c r="A6" s="33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</row>
    <row r="8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>
      <c r="A11" s="33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>
      <c r="A12" s="33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>
      <c r="A24" s="33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>
      <c r="A25" s="33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>
      <c r="A36" s="33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>
      <c r="A37" s="33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>
      <c r="A38" s="33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>
      <c r="A39" s="33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>
      <c r="A40" s="33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>
      <c r="A41" s="33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>
      <c r="A43" s="33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>
      <c r="A44" s="33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>
      <c r="A45" s="33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>
      <c r="A46" s="33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>
      <c r="A47" s="33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>
      <c r="A49" s="33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>
      <c r="A50" s="33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>
      <c r="A51" s="3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>
      <c r="A52" s="33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>
      <c r="A53" s="33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>
      <c r="A55" s="33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>
      <c r="A56" s="33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>
      <c r="A57" s="33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>
      <c r="A58" s="33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>
      <c r="A59" s="33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>
      <c r="A60" s="3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3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3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3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3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3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3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3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3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3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3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3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3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3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3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3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3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3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3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3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3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3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3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3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3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3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3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3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3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3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3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3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3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3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3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3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3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3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3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3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3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3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3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3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3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3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3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3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3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3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3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3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3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3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3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3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3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3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3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3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3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3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3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3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3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3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3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3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3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3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3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3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3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3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3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3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3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3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3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3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3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3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3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3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3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3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3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3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3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3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3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3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3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3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3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3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35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35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35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35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35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35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35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35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35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35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35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35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35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35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35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35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35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35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35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35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35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35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35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35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35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35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35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35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35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35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35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35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35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35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35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35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35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35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35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35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35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35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35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35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35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35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35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35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35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35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35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35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35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35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35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35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35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35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35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35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35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35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35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35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35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35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35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35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35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35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35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35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35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35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35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35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35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35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35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35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35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35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35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35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35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35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35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35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35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35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35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35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35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35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35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35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35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35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35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35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35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35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35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35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35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35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35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35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35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35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35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35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35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35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35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35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35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35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35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35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35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35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35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35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35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35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35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35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35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35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35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35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35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35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35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35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35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35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35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35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35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35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35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35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35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35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35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35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35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35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35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35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35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35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35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35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35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35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35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35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35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35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35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35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35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35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35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35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35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35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35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35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35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35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35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35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35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35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35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35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35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35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35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35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35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35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35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35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35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35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35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35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35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35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35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35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35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35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35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35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35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35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35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35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35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35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35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35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35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35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35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35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35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35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35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35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35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35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35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35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35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35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35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35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35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35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35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35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35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35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35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35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35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35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35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35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35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35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35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35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35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35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35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35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35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35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35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35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35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35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35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35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35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35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35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35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35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35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35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35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35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35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35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35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35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35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35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35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35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35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35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35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35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35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35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35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35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35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35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35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35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35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35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35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35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35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35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35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35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35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35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35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35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35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35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35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35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35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35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35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3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</sheetData>
  <conditionalFormatting sqref="F6:F5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dataValidations count="2">
    <dataValidation sqref="F6:F500" showDropDown="0" showInputMessage="0" showErrorMessage="0" allowBlank="1" type="list">
      <formula1>"None,Open,Resolved"</formula1>
    </dataValidation>
    <dataValidation sqref="G6:G5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M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8" customWidth="1" min="4" max="4"/>
    <col width="16" customWidth="1" min="5" max="5"/>
    <col width="55" customWidth="1" min="6" max="6"/>
    <col width="11" customWidth="1" min="7" max="7"/>
    <col width="20" customWidth="1" min="8" max="8"/>
    <col width="11" customWidth="1" min="9" max="9"/>
    <col width="11" customWidth="1" min="10" max="10"/>
    <col width="9" customWidth="1" min="11" max="11"/>
    <col width="32" customWidth="1" min="12" max="12"/>
    <col width="22" customWidth="1" min="13" max="13"/>
  </cols>
  <sheetData>
    <row r="1">
      <c r="A1" s="13" t="inlineStr">
        <is>
          <t>ID</t>
        </is>
      </c>
      <c r="B1" s="13" t="inlineStr">
        <is>
          <t>Date Raised</t>
        </is>
      </c>
      <c r="C1" s="13" t="inlineStr">
        <is>
          <t>Raised By</t>
        </is>
      </c>
      <c r="D1" s="13" t="inlineStr">
        <is>
          <t>Task ID</t>
        </is>
      </c>
      <c r="E1" s="13" t="inlineStr">
        <is>
          <t>Layer</t>
        </is>
      </c>
      <c r="F1" s="13" t="inlineStr">
        <is>
          <t>Problem</t>
        </is>
      </c>
      <c r="G1" s="13" t="inlineStr">
        <is>
          <t>Impact</t>
        </is>
      </c>
      <c r="H1" s="13" t="inlineStr">
        <is>
          <t>Assigned To</t>
        </is>
      </c>
      <c r="I1" s="13" t="inlineStr">
        <is>
          <t>Status</t>
        </is>
      </c>
      <c r="J1" s="13" t="inlineStr">
        <is>
          <t>Date Resolved</t>
        </is>
      </c>
      <c r="K1" s="13" t="inlineStr">
        <is>
          <t>Days Open</t>
        </is>
      </c>
      <c r="L1" s="13" t="inlineStr">
        <is>
          <t>Resolution</t>
        </is>
      </c>
      <c r="M1" s="13" t="inlineStr">
        <is>
          <t>Link</t>
        </is>
      </c>
    </row>
    <row r="2">
      <c r="A2" s="34" t="inlineStr">
        <is>
          <t>PB-01</t>
        </is>
      </c>
      <c r="B2" s="33" t="n">
        <v>46320</v>
      </c>
      <c r="C2" s="34" t="inlineStr">
        <is>
          <t>Domain &amp; Product Lead</t>
        </is>
      </c>
      <c r="D2" s="34" t="inlineStr">
        <is>
          <t>T05</t>
        </is>
      </c>
      <c r="E2" s="34" t="inlineStr">
        <is>
          <t>L13 Evaluation</t>
        </is>
      </c>
      <c r="F2" s="34" t="inlineStr">
        <is>
          <t>L13 is listed under two roles. Confirm split: Eval owns harness + metrics, Deploy owns CI gate + dashboards.</t>
        </is>
      </c>
      <c r="G2" s="34" t="inlineStr">
        <is>
          <t>High</t>
        </is>
      </c>
      <c r="H2" s="34" t="inlineStr">
        <is>
          <t>Eval &amp; Red-Team</t>
        </is>
      </c>
      <c r="I2" s="34" t="inlineStr">
        <is>
          <t>Open</t>
        </is>
      </c>
      <c r="J2" s="33" t="n"/>
      <c r="K2" s="36">
        <f>IF(B2="","",IF(J2="",TODAY()-B2,J2-B2))</f>
        <v/>
      </c>
      <c r="L2" s="34" t="n"/>
      <c r="M2" s="34" t="n"/>
    </row>
    <row r="3">
      <c r="A3" s="34" t="inlineStr">
        <is>
          <t>PB-02</t>
        </is>
      </c>
      <c r="B3" s="33" t="n">
        <v>46320</v>
      </c>
      <c r="C3" s="34" t="inlineStr">
        <is>
          <t>Domain &amp; Product Lead</t>
        </is>
      </c>
      <c r="D3" s="34" t="inlineStr">
        <is>
          <t>T05</t>
        </is>
      </c>
      <c r="E3" s="34" t="inlineStr">
        <is>
          <t>L15 Security</t>
        </is>
      </c>
      <c r="F3" s="34" t="inlineStr">
        <is>
          <t>L15 is shared between Tools/Security (guardrails) and Eval (security evals). Who signs off the threat model?</t>
        </is>
      </c>
      <c r="G3" s="34" t="inlineStr">
        <is>
          <t>High</t>
        </is>
      </c>
      <c r="H3" s="34" t="inlineStr">
        <is>
          <t>Tools &amp; Security</t>
        </is>
      </c>
      <c r="I3" s="34" t="inlineStr">
        <is>
          <t>Open</t>
        </is>
      </c>
      <c r="J3" s="33" t="n"/>
      <c r="K3" s="36">
        <f>IF(B3="","",IF(J3="",TODAY()-B3,J3-B3))</f>
        <v/>
      </c>
      <c r="L3" s="34" t="n"/>
      <c r="M3" s="34" t="n"/>
    </row>
    <row r="4">
      <c r="A4" s="34" t="inlineStr">
        <is>
          <t>PB-03</t>
        </is>
      </c>
      <c r="B4" s="33" t="n">
        <v>46320</v>
      </c>
      <c r="C4" s="34" t="inlineStr">
        <is>
          <t>Domain &amp; Product Lead</t>
        </is>
      </c>
      <c r="D4" s="34" t="inlineStr"/>
      <c r="E4" s="34" t="inlineStr">
        <is>
          <t>Project Mgmt</t>
        </is>
      </c>
      <c r="F4" s="34" t="inlineStr">
        <is>
          <t>Who are the mentors and the domain expert, and how often will they join?</t>
        </is>
      </c>
      <c r="G4" s="34" t="inlineStr">
        <is>
          <t>Medium</t>
        </is>
      </c>
      <c r="H4" s="34" t="inlineStr">
        <is>
          <t>Domain &amp; Product Lead</t>
        </is>
      </c>
      <c r="I4" s="34" t="inlineStr">
        <is>
          <t>Open</t>
        </is>
      </c>
      <c r="J4" s="33" t="n"/>
      <c r="K4" s="36">
        <f>IF(B4="","",IF(J4="",TODAY()-B4,J4-B4))</f>
        <v/>
      </c>
      <c r="L4" s="34" t="n"/>
      <c r="M4" s="34" t="n"/>
    </row>
    <row r="5">
      <c r="A5" s="34" t="inlineStr">
        <is>
          <t>PB-04</t>
        </is>
      </c>
      <c r="B5" s="33" t="n">
        <v>46320</v>
      </c>
      <c r="C5" s="34" t="inlineStr">
        <is>
          <t>Domain &amp; Product Lead</t>
        </is>
      </c>
      <c r="D5" s="34" t="inlineStr"/>
      <c r="E5" s="34" t="inlineStr">
        <is>
          <t>Project Mgmt</t>
        </is>
      </c>
      <c r="F5" s="34" t="inlineStr">
        <is>
          <t>Do the brief or university require data-handling / privacy rules for Discord and shared docs?</t>
        </is>
      </c>
      <c r="G5" s="34" t="inlineStr">
        <is>
          <t>Medium</t>
        </is>
      </c>
      <c r="H5" s="34" t="inlineStr">
        <is>
          <t>Domain &amp; Product Lead</t>
        </is>
      </c>
      <c r="I5" s="34" t="inlineStr">
        <is>
          <t>Open</t>
        </is>
      </c>
      <c r="J5" s="33" t="n"/>
      <c r="K5" s="36">
        <f>IF(B5="","",IF(J5="",TODAY()-B5,J5-B5))</f>
        <v/>
      </c>
      <c r="L5" s="34" t="n"/>
      <c r="M5" s="34" t="n"/>
    </row>
    <row r="6">
      <c r="A6" s="34" t="inlineStr">
        <is>
          <t>PB-05</t>
        </is>
      </c>
      <c r="B6" s="33" t="n">
        <v>46320</v>
      </c>
      <c r="C6" s="34" t="inlineStr">
        <is>
          <t>Domain &amp; Product Lead</t>
        </is>
      </c>
      <c r="D6" s="34" t="inlineStr">
        <is>
          <t>T64</t>
        </is>
      </c>
      <c r="E6" s="34" t="inlineStr">
        <is>
          <t>Project Mgmt</t>
        </is>
      </c>
      <c r="F6" s="34" t="inlineStr">
        <is>
          <t>Are grades based on individual contribution evidence? What format does the course expect?</t>
        </is>
      </c>
      <c r="G6" s="34" t="inlineStr">
        <is>
          <t>High</t>
        </is>
      </c>
      <c r="H6" s="34" t="inlineStr">
        <is>
          <t>Domain &amp; Product Lead</t>
        </is>
      </c>
      <c r="I6" s="34" t="inlineStr">
        <is>
          <t>Open</t>
        </is>
      </c>
      <c r="J6" s="33" t="n"/>
      <c r="K6" s="36">
        <f>IF(B6="","",IF(J6="",TODAY()-B6,J6-B6))</f>
        <v/>
      </c>
      <c r="L6" s="34" t="n"/>
      <c r="M6" s="34" t="n"/>
    </row>
    <row r="7">
      <c r="A7" s="34" t="inlineStr">
        <is>
          <t>PB-06</t>
        </is>
      </c>
      <c r="B7" s="33" t="n">
        <v>46320</v>
      </c>
      <c r="C7" s="34" t="inlineStr">
        <is>
          <t>Domain &amp; Product Lead</t>
        </is>
      </c>
      <c r="D7" s="34" t="inlineStr"/>
      <c r="E7" s="34" t="inlineStr">
        <is>
          <t>Project Mgmt</t>
        </is>
      </c>
      <c r="F7" s="34" t="inlineStr">
        <is>
          <t>Which tools beyond GitHub are approved (Google Drive/Sheets, Notion, Excalidraw)?</t>
        </is>
      </c>
      <c r="G7" s="34" t="inlineStr">
        <is>
          <t>Low</t>
        </is>
      </c>
      <c r="H7" s="34" t="inlineStr">
        <is>
          <t>Domain &amp; Product Lead</t>
        </is>
      </c>
      <c r="I7" s="34" t="inlineStr">
        <is>
          <t>Open</t>
        </is>
      </c>
      <c r="J7" s="33" t="n"/>
      <c r="K7" s="36">
        <f>IF(B7="","",IF(J7="",TODAY()-B7,J7-B7))</f>
        <v/>
      </c>
      <c r="L7" s="34" t="n"/>
      <c r="M7" s="34" t="n"/>
    </row>
    <row r="8">
      <c r="A8" s="34" t="inlineStr">
        <is>
          <t>PB-07</t>
        </is>
      </c>
      <c r="B8" s="33" t="n">
        <v>46320</v>
      </c>
      <c r="C8" s="34" t="inlineStr">
        <is>
          <t>Domain &amp; Product Lead</t>
        </is>
      </c>
      <c r="D8" s="34" t="inlineStr"/>
      <c r="E8" s="34" t="inlineStr">
        <is>
          <t>Project Mgmt</t>
        </is>
      </c>
      <c r="F8" s="34" t="inlineStr">
        <is>
          <t>Final review / demo date not in the brief — needed to fix the phase plan.</t>
        </is>
      </c>
      <c r="G8" s="34" t="inlineStr">
        <is>
          <t>High</t>
        </is>
      </c>
      <c r="H8" s="34" t="inlineStr">
        <is>
          <t>Domain &amp; Product Lead</t>
        </is>
      </c>
      <c r="I8" s="34" t="inlineStr">
        <is>
          <t>Open</t>
        </is>
      </c>
      <c r="J8" s="33" t="n"/>
      <c r="K8" s="36">
        <f>IF(B8="","",IF(J8="",TODAY()-B8,J8-B8))</f>
        <v/>
      </c>
      <c r="L8" s="34" t="n"/>
      <c r="M8" s="34" t="n"/>
    </row>
    <row r="9">
      <c r="A9" s="37" t="n"/>
      <c r="B9" s="38" t="n"/>
      <c r="C9" s="37" t="n"/>
      <c r="D9" s="37" t="n"/>
      <c r="E9" s="37" t="n"/>
      <c r="F9" s="37" t="n"/>
      <c r="G9" s="37" t="n"/>
      <c r="H9" s="37" t="n"/>
      <c r="I9" s="37" t="n"/>
      <c r="J9" s="38" t="n"/>
      <c r="K9" s="6">
        <f>IF(B9="","",IF(J9="",TODAY()-B9,J9-B9))</f>
        <v/>
      </c>
      <c r="L9" s="37" t="n"/>
      <c r="M9" s="37" t="n"/>
    </row>
    <row r="10">
      <c r="A10" s="37" t="n"/>
      <c r="B10" s="38" t="n"/>
      <c r="C10" s="37" t="n"/>
      <c r="D10" s="37" t="n"/>
      <c r="E10" s="37" t="n"/>
      <c r="F10" s="37" t="n"/>
      <c r="G10" s="37" t="n"/>
      <c r="H10" s="37" t="n"/>
      <c r="I10" s="37" t="n"/>
      <c r="J10" s="38" t="n"/>
      <c r="K10" s="6">
        <f>IF(B10="","",IF(J10="",TODAY()-B10,J10-B10))</f>
        <v/>
      </c>
      <c r="L10" s="37" t="n"/>
      <c r="M10" s="37" t="n"/>
    </row>
    <row r="11">
      <c r="A11" s="37" t="n"/>
      <c r="B11" s="38" t="n"/>
      <c r="C11" s="37" t="n"/>
      <c r="D11" s="37" t="n"/>
      <c r="E11" s="37" t="n"/>
      <c r="F11" s="37" t="n"/>
      <c r="G11" s="37" t="n"/>
      <c r="H11" s="37" t="n"/>
      <c r="I11" s="37" t="n"/>
      <c r="J11" s="38" t="n"/>
      <c r="K11" s="6">
        <f>IF(B11="","",IF(J11="",TODAY()-B11,J11-B11))</f>
        <v/>
      </c>
      <c r="L11" s="37" t="n"/>
      <c r="M11" s="37" t="n"/>
    </row>
    <row r="12">
      <c r="A12" s="37" t="n"/>
      <c r="B12" s="38" t="n"/>
      <c r="C12" s="37" t="n"/>
      <c r="D12" s="37" t="n"/>
      <c r="E12" s="37" t="n"/>
      <c r="F12" s="37" t="n"/>
      <c r="G12" s="37" t="n"/>
      <c r="H12" s="37" t="n"/>
      <c r="I12" s="37" t="n"/>
      <c r="J12" s="38" t="n"/>
      <c r="K12" s="6">
        <f>IF(B12="","",IF(J12="",TODAY()-B12,J12-B12))</f>
        <v/>
      </c>
      <c r="L12" s="37" t="n"/>
      <c r="M12" s="37" t="n"/>
    </row>
    <row r="13">
      <c r="A13" s="37" t="n"/>
      <c r="B13" s="38" t="n"/>
      <c r="C13" s="37" t="n"/>
      <c r="D13" s="37" t="n"/>
      <c r="E13" s="37" t="n"/>
      <c r="F13" s="37" t="n"/>
      <c r="G13" s="37" t="n"/>
      <c r="H13" s="37" t="n"/>
      <c r="I13" s="37" t="n"/>
      <c r="J13" s="38" t="n"/>
      <c r="K13" s="6">
        <f>IF(B13="","",IF(J13="",TODAY()-B13,J13-B13))</f>
        <v/>
      </c>
      <c r="L13" s="37" t="n"/>
      <c r="M13" s="37" t="n"/>
    </row>
    <row r="14">
      <c r="A14" s="37" t="n"/>
      <c r="B14" s="38" t="n"/>
      <c r="C14" s="37" t="n"/>
      <c r="D14" s="37" t="n"/>
      <c r="E14" s="37" t="n"/>
      <c r="F14" s="37" t="n"/>
      <c r="G14" s="37" t="n"/>
      <c r="H14" s="37" t="n"/>
      <c r="I14" s="37" t="n"/>
      <c r="J14" s="38" t="n"/>
      <c r="K14" s="6">
        <f>IF(B14="","",IF(J14="",TODAY()-B14,J14-B14))</f>
        <v/>
      </c>
      <c r="L14" s="37" t="n"/>
      <c r="M14" s="37" t="n"/>
    </row>
    <row r="15">
      <c r="A15" s="37" t="n"/>
      <c r="B15" s="38" t="n"/>
      <c r="C15" s="37" t="n"/>
      <c r="D15" s="37" t="n"/>
      <c r="E15" s="37" t="n"/>
      <c r="F15" s="37" t="n"/>
      <c r="G15" s="37" t="n"/>
      <c r="H15" s="37" t="n"/>
      <c r="I15" s="37" t="n"/>
      <c r="J15" s="38" t="n"/>
      <c r="K15" s="6">
        <f>IF(B15="","",IF(J15="",TODAY()-B15,J15-B15))</f>
        <v/>
      </c>
      <c r="L15" s="37" t="n"/>
      <c r="M15" s="37" t="n"/>
    </row>
    <row r="16">
      <c r="A16" s="37" t="n"/>
      <c r="B16" s="38" t="n"/>
      <c r="C16" s="37" t="n"/>
      <c r="D16" s="37" t="n"/>
      <c r="E16" s="37" t="n"/>
      <c r="F16" s="37" t="n"/>
      <c r="G16" s="37" t="n"/>
      <c r="H16" s="37" t="n"/>
      <c r="I16" s="37" t="n"/>
      <c r="J16" s="38" t="n"/>
      <c r="K16" s="6">
        <f>IF(B16="","",IF(J16="",TODAY()-B16,J16-B16))</f>
        <v/>
      </c>
      <c r="L16" s="37" t="n"/>
      <c r="M16" s="37" t="n"/>
    </row>
    <row r="17">
      <c r="A17" s="37" t="n"/>
      <c r="B17" s="38" t="n"/>
      <c r="C17" s="37" t="n"/>
      <c r="D17" s="37" t="n"/>
      <c r="E17" s="37" t="n"/>
      <c r="F17" s="37" t="n"/>
      <c r="G17" s="37" t="n"/>
      <c r="H17" s="37" t="n"/>
      <c r="I17" s="37" t="n"/>
      <c r="J17" s="38" t="n"/>
      <c r="K17" s="6">
        <f>IF(B17="","",IF(J17="",TODAY()-B17,J17-B17))</f>
        <v/>
      </c>
      <c r="L17" s="37" t="n"/>
      <c r="M17" s="37" t="n"/>
    </row>
    <row r="18">
      <c r="A18" s="37" t="n"/>
      <c r="B18" s="38" t="n"/>
      <c r="C18" s="37" t="n"/>
      <c r="D18" s="37" t="n"/>
      <c r="E18" s="37" t="n"/>
      <c r="F18" s="37" t="n"/>
      <c r="G18" s="37" t="n"/>
      <c r="H18" s="37" t="n"/>
      <c r="I18" s="37" t="n"/>
      <c r="J18" s="38" t="n"/>
      <c r="K18" s="6">
        <f>IF(B18="","",IF(J18="",TODAY()-B18,J18-B18))</f>
        <v/>
      </c>
      <c r="L18" s="37" t="n"/>
      <c r="M18" s="37" t="n"/>
    </row>
    <row r="19">
      <c r="A19" s="37" t="n"/>
      <c r="B19" s="38" t="n"/>
      <c r="C19" s="37" t="n"/>
      <c r="D19" s="37" t="n"/>
      <c r="E19" s="37" t="n"/>
      <c r="F19" s="37" t="n"/>
      <c r="G19" s="37" t="n"/>
      <c r="H19" s="37" t="n"/>
      <c r="I19" s="37" t="n"/>
      <c r="J19" s="38" t="n"/>
      <c r="K19" s="6">
        <f>IF(B19="","",IF(J19="",TODAY()-B19,J19-B19))</f>
        <v/>
      </c>
      <c r="L19" s="37" t="n"/>
      <c r="M19" s="37" t="n"/>
    </row>
    <row r="20">
      <c r="A20" s="37" t="n"/>
      <c r="B20" s="38" t="n"/>
      <c r="C20" s="37" t="n"/>
      <c r="D20" s="37" t="n"/>
      <c r="E20" s="37" t="n"/>
      <c r="F20" s="37" t="n"/>
      <c r="G20" s="37" t="n"/>
      <c r="H20" s="37" t="n"/>
      <c r="I20" s="37" t="n"/>
      <c r="J20" s="38" t="n"/>
      <c r="K20" s="6">
        <f>IF(B20="","",IF(J20="",TODAY()-B20,J20-B20))</f>
        <v/>
      </c>
      <c r="L20" s="37" t="n"/>
      <c r="M20" s="37" t="n"/>
    </row>
    <row r="21">
      <c r="A21" s="37" t="n"/>
      <c r="B21" s="38" t="n"/>
      <c r="C21" s="37" t="n"/>
      <c r="D21" s="37" t="n"/>
      <c r="E21" s="37" t="n"/>
      <c r="F21" s="37" t="n"/>
      <c r="G21" s="37" t="n"/>
      <c r="H21" s="37" t="n"/>
      <c r="I21" s="37" t="n"/>
      <c r="J21" s="38" t="n"/>
      <c r="K21" s="6">
        <f>IF(B21="","",IF(J21="",TODAY()-B21,J21-B21))</f>
        <v/>
      </c>
      <c r="L21" s="37" t="n"/>
      <c r="M21" s="37" t="n"/>
    </row>
    <row r="22">
      <c r="A22" s="37" t="n"/>
      <c r="B22" s="38" t="n"/>
      <c r="C22" s="37" t="n"/>
      <c r="D22" s="37" t="n"/>
      <c r="E22" s="37" t="n"/>
      <c r="F22" s="37" t="n"/>
      <c r="G22" s="37" t="n"/>
      <c r="H22" s="37" t="n"/>
      <c r="I22" s="37" t="n"/>
      <c r="J22" s="38" t="n"/>
      <c r="K22" s="6">
        <f>IF(B22="","",IF(J22="",TODAY()-B22,J22-B22))</f>
        <v/>
      </c>
      <c r="L22" s="37" t="n"/>
      <c r="M22" s="37" t="n"/>
    </row>
    <row r="23">
      <c r="A23" s="37" t="n"/>
      <c r="B23" s="38" t="n"/>
      <c r="C23" s="37" t="n"/>
      <c r="D23" s="37" t="n"/>
      <c r="E23" s="37" t="n"/>
      <c r="F23" s="37" t="n"/>
      <c r="G23" s="37" t="n"/>
      <c r="H23" s="37" t="n"/>
      <c r="I23" s="37" t="n"/>
      <c r="J23" s="38" t="n"/>
      <c r="K23" s="6">
        <f>IF(B23="","",IF(J23="",TODAY()-B23,J23-B23))</f>
        <v/>
      </c>
      <c r="L23" s="37" t="n"/>
      <c r="M23" s="37" t="n"/>
    </row>
    <row r="24">
      <c r="A24" s="37" t="n"/>
      <c r="B24" s="38" t="n"/>
      <c r="C24" s="37" t="n"/>
      <c r="D24" s="37" t="n"/>
      <c r="E24" s="37" t="n"/>
      <c r="F24" s="37" t="n"/>
      <c r="G24" s="37" t="n"/>
      <c r="H24" s="37" t="n"/>
      <c r="I24" s="37" t="n"/>
      <c r="J24" s="38" t="n"/>
      <c r="K24" s="6">
        <f>IF(B24="","",IF(J24="",TODAY()-B24,J24-B24))</f>
        <v/>
      </c>
      <c r="L24" s="37" t="n"/>
      <c r="M24" s="37" t="n"/>
    </row>
    <row r="25">
      <c r="A25" s="37" t="n"/>
      <c r="B25" s="38" t="n"/>
      <c r="C25" s="37" t="n"/>
      <c r="D25" s="37" t="n"/>
      <c r="E25" s="37" t="n"/>
      <c r="F25" s="37" t="n"/>
      <c r="G25" s="37" t="n"/>
      <c r="H25" s="37" t="n"/>
      <c r="I25" s="37" t="n"/>
      <c r="J25" s="38" t="n"/>
      <c r="K25" s="6">
        <f>IF(B25="","",IF(J25="",TODAY()-B25,J25-B25))</f>
        <v/>
      </c>
      <c r="L25" s="37" t="n"/>
      <c r="M25" s="37" t="n"/>
    </row>
    <row r="26">
      <c r="A26" s="37" t="n"/>
      <c r="B26" s="38" t="n"/>
      <c r="C26" s="37" t="n"/>
      <c r="D26" s="37" t="n"/>
      <c r="E26" s="37" t="n"/>
      <c r="F26" s="37" t="n"/>
      <c r="G26" s="37" t="n"/>
      <c r="H26" s="37" t="n"/>
      <c r="I26" s="37" t="n"/>
      <c r="J26" s="38" t="n"/>
      <c r="K26" s="6">
        <f>IF(B26="","",IF(J26="",TODAY()-B26,J26-B26))</f>
        <v/>
      </c>
      <c r="L26" s="37" t="n"/>
      <c r="M26" s="37" t="n"/>
    </row>
    <row r="27">
      <c r="A27" s="37" t="n"/>
      <c r="B27" s="38" t="n"/>
      <c r="C27" s="37" t="n"/>
      <c r="D27" s="37" t="n"/>
      <c r="E27" s="37" t="n"/>
      <c r="F27" s="37" t="n"/>
      <c r="G27" s="37" t="n"/>
      <c r="H27" s="37" t="n"/>
      <c r="I27" s="37" t="n"/>
      <c r="J27" s="38" t="n"/>
      <c r="K27" s="6">
        <f>IF(B27="","",IF(J27="",TODAY()-B27,J27-B27))</f>
        <v/>
      </c>
      <c r="L27" s="37" t="n"/>
      <c r="M27" s="37" t="n"/>
    </row>
    <row r="28">
      <c r="A28" s="37" t="n"/>
      <c r="B28" s="38" t="n"/>
      <c r="C28" s="37" t="n"/>
      <c r="D28" s="37" t="n"/>
      <c r="E28" s="37" t="n"/>
      <c r="F28" s="37" t="n"/>
      <c r="G28" s="37" t="n"/>
      <c r="H28" s="37" t="n"/>
      <c r="I28" s="37" t="n"/>
      <c r="J28" s="38" t="n"/>
      <c r="K28" s="6">
        <f>IF(B28="","",IF(J28="",TODAY()-B28,J28-B28))</f>
        <v/>
      </c>
      <c r="L28" s="37" t="n"/>
      <c r="M28" s="37" t="n"/>
    </row>
    <row r="29">
      <c r="A29" s="37" t="n"/>
      <c r="B29" s="38" t="n"/>
      <c r="C29" s="37" t="n"/>
      <c r="D29" s="37" t="n"/>
      <c r="E29" s="37" t="n"/>
      <c r="F29" s="37" t="n"/>
      <c r="G29" s="37" t="n"/>
      <c r="H29" s="37" t="n"/>
      <c r="I29" s="37" t="n"/>
      <c r="J29" s="38" t="n"/>
      <c r="K29" s="6">
        <f>IF(B29="","",IF(J29="",TODAY()-B29,J29-B29))</f>
        <v/>
      </c>
      <c r="L29" s="37" t="n"/>
      <c r="M29" s="37" t="n"/>
    </row>
    <row r="30">
      <c r="A30" s="37" t="n"/>
      <c r="B30" s="38" t="n"/>
      <c r="C30" s="37" t="n"/>
      <c r="D30" s="37" t="n"/>
      <c r="E30" s="37" t="n"/>
      <c r="F30" s="37" t="n"/>
      <c r="G30" s="37" t="n"/>
      <c r="H30" s="37" t="n"/>
      <c r="I30" s="37" t="n"/>
      <c r="J30" s="38" t="n"/>
      <c r="K30" s="6">
        <f>IF(B30="","",IF(J30="",TODAY()-B30,J30-B30))</f>
        <v/>
      </c>
      <c r="L30" s="37" t="n"/>
      <c r="M30" s="37" t="n"/>
    </row>
    <row r="31">
      <c r="A31" s="37" t="n"/>
      <c r="B31" s="38" t="n"/>
      <c r="C31" s="37" t="n"/>
      <c r="D31" s="37" t="n"/>
      <c r="E31" s="37" t="n"/>
      <c r="F31" s="37" t="n"/>
      <c r="G31" s="37" t="n"/>
      <c r="H31" s="37" t="n"/>
      <c r="I31" s="37" t="n"/>
      <c r="J31" s="38" t="n"/>
      <c r="K31" s="6">
        <f>IF(B31="","",IF(J31="",TODAY()-B31,J31-B31))</f>
        <v/>
      </c>
      <c r="L31" s="37" t="n"/>
      <c r="M31" s="37" t="n"/>
    </row>
    <row r="32">
      <c r="A32" s="37" t="n"/>
      <c r="B32" s="38" t="n"/>
      <c r="C32" s="37" t="n"/>
      <c r="D32" s="37" t="n"/>
      <c r="E32" s="37" t="n"/>
      <c r="F32" s="37" t="n"/>
      <c r="G32" s="37" t="n"/>
      <c r="H32" s="37" t="n"/>
      <c r="I32" s="37" t="n"/>
      <c r="J32" s="38" t="n"/>
      <c r="K32" s="6">
        <f>IF(B32="","",IF(J32="",TODAY()-B32,J32-B32))</f>
        <v/>
      </c>
      <c r="L32" s="37" t="n"/>
      <c r="M32" s="37" t="n"/>
    </row>
    <row r="33">
      <c r="A33" s="37" t="n"/>
      <c r="B33" s="38" t="n"/>
      <c r="C33" s="37" t="n"/>
      <c r="D33" s="37" t="n"/>
      <c r="E33" s="37" t="n"/>
      <c r="F33" s="37" t="n"/>
      <c r="G33" s="37" t="n"/>
      <c r="H33" s="37" t="n"/>
      <c r="I33" s="37" t="n"/>
      <c r="J33" s="38" t="n"/>
      <c r="K33" s="6">
        <f>IF(B33="","",IF(J33="",TODAY()-B33,J33-B33))</f>
        <v/>
      </c>
      <c r="L33" s="37" t="n"/>
      <c r="M33" s="37" t="n"/>
    </row>
    <row r="34">
      <c r="A34" s="37" t="n"/>
      <c r="B34" s="38" t="n"/>
      <c r="C34" s="37" t="n"/>
      <c r="D34" s="37" t="n"/>
      <c r="E34" s="37" t="n"/>
      <c r="F34" s="37" t="n"/>
      <c r="G34" s="37" t="n"/>
      <c r="H34" s="37" t="n"/>
      <c r="I34" s="37" t="n"/>
      <c r="J34" s="38" t="n"/>
      <c r="K34" s="6">
        <f>IF(B34="","",IF(J34="",TODAY()-B34,J34-B34))</f>
        <v/>
      </c>
      <c r="L34" s="37" t="n"/>
      <c r="M34" s="37" t="n"/>
    </row>
    <row r="35">
      <c r="A35" s="37" t="n"/>
      <c r="B35" s="38" t="n"/>
      <c r="C35" s="37" t="n"/>
      <c r="D35" s="37" t="n"/>
      <c r="E35" s="37" t="n"/>
      <c r="F35" s="37" t="n"/>
      <c r="G35" s="37" t="n"/>
      <c r="H35" s="37" t="n"/>
      <c r="I35" s="37" t="n"/>
      <c r="J35" s="38" t="n"/>
      <c r="K35" s="6">
        <f>IF(B35="","",IF(J35="",TODAY()-B35,J35-B35))</f>
        <v/>
      </c>
      <c r="L35" s="37" t="n"/>
      <c r="M35" s="37" t="n"/>
    </row>
    <row r="36">
      <c r="A36" s="37" t="n"/>
      <c r="B36" s="38" t="n"/>
      <c r="C36" s="37" t="n"/>
      <c r="D36" s="37" t="n"/>
      <c r="E36" s="37" t="n"/>
      <c r="F36" s="37" t="n"/>
      <c r="G36" s="37" t="n"/>
      <c r="H36" s="37" t="n"/>
      <c r="I36" s="37" t="n"/>
      <c r="J36" s="38" t="n"/>
      <c r="K36" s="6">
        <f>IF(B36="","",IF(J36="",TODAY()-B36,J36-B36))</f>
        <v/>
      </c>
      <c r="L36" s="37" t="n"/>
      <c r="M36" s="37" t="n"/>
    </row>
    <row r="37">
      <c r="A37" s="37" t="n"/>
      <c r="B37" s="38" t="n"/>
      <c r="C37" s="37" t="n"/>
      <c r="D37" s="37" t="n"/>
      <c r="E37" s="37" t="n"/>
      <c r="F37" s="37" t="n"/>
      <c r="G37" s="37" t="n"/>
      <c r="H37" s="37" t="n"/>
      <c r="I37" s="37" t="n"/>
      <c r="J37" s="38" t="n"/>
      <c r="K37" s="6">
        <f>IF(B37="","",IF(J37="",TODAY()-B37,J37-B37))</f>
        <v/>
      </c>
      <c r="L37" s="37" t="n"/>
      <c r="M37" s="37" t="n"/>
    </row>
    <row r="38">
      <c r="A38" s="37" t="n"/>
      <c r="B38" s="38" t="n"/>
      <c r="C38" s="37" t="n"/>
      <c r="D38" s="37" t="n"/>
      <c r="E38" s="37" t="n"/>
      <c r="F38" s="37" t="n"/>
      <c r="G38" s="37" t="n"/>
      <c r="H38" s="37" t="n"/>
      <c r="I38" s="37" t="n"/>
      <c r="J38" s="38" t="n"/>
      <c r="K38" s="6">
        <f>IF(B38="","",IF(J38="",TODAY()-B38,J38-B38))</f>
        <v/>
      </c>
      <c r="L38" s="37" t="n"/>
      <c r="M38" s="37" t="n"/>
    </row>
    <row r="39">
      <c r="A39" s="37" t="n"/>
      <c r="B39" s="38" t="n"/>
      <c r="C39" s="37" t="n"/>
      <c r="D39" s="37" t="n"/>
      <c r="E39" s="37" t="n"/>
      <c r="F39" s="37" t="n"/>
      <c r="G39" s="37" t="n"/>
      <c r="H39" s="37" t="n"/>
      <c r="I39" s="37" t="n"/>
      <c r="J39" s="38" t="n"/>
      <c r="K39" s="6">
        <f>IF(B39="","",IF(J39="",TODAY()-B39,J39-B39))</f>
        <v/>
      </c>
      <c r="L39" s="37" t="n"/>
      <c r="M39" s="37" t="n"/>
    </row>
    <row r="40">
      <c r="A40" s="37" t="n"/>
      <c r="B40" s="38" t="n"/>
      <c r="C40" s="37" t="n"/>
      <c r="D40" s="37" t="n"/>
      <c r="E40" s="37" t="n"/>
      <c r="F40" s="37" t="n"/>
      <c r="G40" s="37" t="n"/>
      <c r="H40" s="37" t="n"/>
      <c r="I40" s="37" t="n"/>
      <c r="J40" s="38" t="n"/>
      <c r="K40" s="6">
        <f>IF(B40="","",IF(J40="",TODAY()-B40,J40-B40))</f>
        <v/>
      </c>
      <c r="L40" s="37" t="n"/>
      <c r="M40" s="37" t="n"/>
    </row>
    <row r="41">
      <c r="A41" s="37" t="n"/>
      <c r="B41" s="38" t="n"/>
      <c r="C41" s="37" t="n"/>
      <c r="D41" s="37" t="n"/>
      <c r="E41" s="37" t="n"/>
      <c r="F41" s="37" t="n"/>
      <c r="G41" s="37" t="n"/>
      <c r="H41" s="37" t="n"/>
      <c r="I41" s="37" t="n"/>
      <c r="J41" s="38" t="n"/>
      <c r="K41" s="6">
        <f>IF(B41="","",IF(J41="",TODAY()-B41,J41-B41))</f>
        <v/>
      </c>
      <c r="L41" s="37" t="n"/>
      <c r="M41" s="37" t="n"/>
    </row>
    <row r="42">
      <c r="A42" s="37" t="n"/>
      <c r="B42" s="38" t="n"/>
      <c r="C42" s="37" t="n"/>
      <c r="D42" s="37" t="n"/>
      <c r="E42" s="37" t="n"/>
      <c r="F42" s="37" t="n"/>
      <c r="G42" s="37" t="n"/>
      <c r="H42" s="37" t="n"/>
      <c r="I42" s="37" t="n"/>
      <c r="J42" s="38" t="n"/>
      <c r="K42" s="6">
        <f>IF(B42="","",IF(J42="",TODAY()-B42,J42-B42))</f>
        <v/>
      </c>
      <c r="L42" s="37" t="n"/>
      <c r="M42" s="37" t="n"/>
    </row>
    <row r="43">
      <c r="A43" s="37" t="n"/>
      <c r="B43" s="38" t="n"/>
      <c r="C43" s="37" t="n"/>
      <c r="D43" s="37" t="n"/>
      <c r="E43" s="37" t="n"/>
      <c r="F43" s="37" t="n"/>
      <c r="G43" s="37" t="n"/>
      <c r="H43" s="37" t="n"/>
      <c r="I43" s="37" t="n"/>
      <c r="J43" s="38" t="n"/>
      <c r="K43" s="6">
        <f>IF(B43="","",IF(J43="",TODAY()-B43,J43-B43))</f>
        <v/>
      </c>
      <c r="L43" s="37" t="n"/>
      <c r="M43" s="37" t="n"/>
    </row>
    <row r="44">
      <c r="A44" s="37" t="n"/>
      <c r="B44" s="38" t="n"/>
      <c r="C44" s="37" t="n"/>
      <c r="D44" s="37" t="n"/>
      <c r="E44" s="37" t="n"/>
      <c r="F44" s="37" t="n"/>
      <c r="G44" s="37" t="n"/>
      <c r="H44" s="37" t="n"/>
      <c r="I44" s="37" t="n"/>
      <c r="J44" s="38" t="n"/>
      <c r="K44" s="6">
        <f>IF(B44="","",IF(J44="",TODAY()-B44,J44-B44))</f>
        <v/>
      </c>
      <c r="L44" s="37" t="n"/>
      <c r="M44" s="37" t="n"/>
    </row>
    <row r="45">
      <c r="A45" s="37" t="n"/>
      <c r="B45" s="38" t="n"/>
      <c r="C45" s="37" t="n"/>
      <c r="D45" s="37" t="n"/>
      <c r="E45" s="37" t="n"/>
      <c r="F45" s="37" t="n"/>
      <c r="G45" s="37" t="n"/>
      <c r="H45" s="37" t="n"/>
      <c r="I45" s="37" t="n"/>
      <c r="J45" s="38" t="n"/>
      <c r="K45" s="6">
        <f>IF(B45="","",IF(J45="",TODAY()-B45,J45-B45))</f>
        <v/>
      </c>
      <c r="L45" s="37" t="n"/>
      <c r="M45" s="37" t="n"/>
    </row>
    <row r="46">
      <c r="A46" s="37" t="n"/>
      <c r="B46" s="38" t="n"/>
      <c r="C46" s="37" t="n"/>
      <c r="D46" s="37" t="n"/>
      <c r="E46" s="37" t="n"/>
      <c r="F46" s="37" t="n"/>
      <c r="G46" s="37" t="n"/>
      <c r="H46" s="37" t="n"/>
      <c r="I46" s="37" t="n"/>
      <c r="J46" s="38" t="n"/>
      <c r="K46" s="6">
        <f>IF(B46="","",IF(J46="",TODAY()-B46,J46-B46))</f>
        <v/>
      </c>
      <c r="L46" s="37" t="n"/>
      <c r="M46" s="37" t="n"/>
    </row>
    <row r="47">
      <c r="A47" s="37" t="n"/>
      <c r="B47" s="38" t="n"/>
      <c r="C47" s="37" t="n"/>
      <c r="D47" s="37" t="n"/>
      <c r="E47" s="37" t="n"/>
      <c r="F47" s="37" t="n"/>
      <c r="G47" s="37" t="n"/>
      <c r="H47" s="37" t="n"/>
      <c r="I47" s="37" t="n"/>
      <c r="J47" s="38" t="n"/>
      <c r="K47" s="6">
        <f>IF(B47="","",IF(J47="",TODAY()-B47,J47-B47))</f>
        <v/>
      </c>
      <c r="L47" s="37" t="n"/>
      <c r="M47" s="37" t="n"/>
    </row>
    <row r="48">
      <c r="A48" s="37" t="n"/>
      <c r="B48" s="38" t="n"/>
      <c r="C48" s="37" t="n"/>
      <c r="D48" s="37" t="n"/>
      <c r="E48" s="37" t="n"/>
      <c r="F48" s="37" t="n"/>
      <c r="G48" s="37" t="n"/>
      <c r="H48" s="37" t="n"/>
      <c r="I48" s="37" t="n"/>
      <c r="J48" s="38" t="n"/>
      <c r="K48" s="6">
        <f>IF(B48="","",IF(J48="",TODAY()-B48,J48-B48))</f>
        <v/>
      </c>
      <c r="L48" s="37" t="n"/>
      <c r="M48" s="37" t="n"/>
    </row>
    <row r="49">
      <c r="A49" s="37" t="n"/>
      <c r="B49" s="38" t="n"/>
      <c r="C49" s="37" t="n"/>
      <c r="D49" s="37" t="n"/>
      <c r="E49" s="37" t="n"/>
      <c r="F49" s="37" t="n"/>
      <c r="G49" s="37" t="n"/>
      <c r="H49" s="37" t="n"/>
      <c r="I49" s="37" t="n"/>
      <c r="J49" s="38" t="n"/>
      <c r="K49" s="6">
        <f>IF(B49="","",IF(J49="",TODAY()-B49,J49-B49))</f>
        <v/>
      </c>
      <c r="L49" s="37" t="n"/>
      <c r="M49" s="37" t="n"/>
    </row>
    <row r="50">
      <c r="A50" s="37" t="n"/>
      <c r="B50" s="38" t="n"/>
      <c r="C50" s="37" t="n"/>
      <c r="D50" s="37" t="n"/>
      <c r="E50" s="37" t="n"/>
      <c r="F50" s="37" t="n"/>
      <c r="G50" s="37" t="n"/>
      <c r="H50" s="37" t="n"/>
      <c r="I50" s="37" t="n"/>
      <c r="J50" s="38" t="n"/>
      <c r="K50" s="6">
        <f>IF(B50="","",IF(J50="",TODAY()-B50,J50-B50))</f>
        <v/>
      </c>
      <c r="L50" s="37" t="n"/>
      <c r="M50" s="37" t="n"/>
    </row>
    <row r="51">
      <c r="A51" s="37" t="n"/>
      <c r="B51" s="38" t="n"/>
      <c r="C51" s="37" t="n"/>
      <c r="D51" s="37" t="n"/>
      <c r="E51" s="37" t="n"/>
      <c r="F51" s="37" t="n"/>
      <c r="G51" s="37" t="n"/>
      <c r="H51" s="37" t="n"/>
      <c r="I51" s="37" t="n"/>
      <c r="J51" s="38" t="n"/>
      <c r="K51" s="6">
        <f>IF(B51="","",IF(J51="",TODAY()-B51,J51-B51))</f>
        <v/>
      </c>
      <c r="L51" s="37" t="n"/>
      <c r="M51" s="37" t="n"/>
    </row>
    <row r="52">
      <c r="A52" s="37" t="n"/>
      <c r="B52" s="38" t="n"/>
      <c r="C52" s="37" t="n"/>
      <c r="D52" s="37" t="n"/>
      <c r="E52" s="37" t="n"/>
      <c r="F52" s="37" t="n"/>
      <c r="G52" s="37" t="n"/>
      <c r="H52" s="37" t="n"/>
      <c r="I52" s="37" t="n"/>
      <c r="J52" s="38" t="n"/>
      <c r="K52" s="6">
        <f>IF(B52="","",IF(J52="",TODAY()-B52,J52-B52))</f>
        <v/>
      </c>
      <c r="L52" s="37" t="n"/>
      <c r="M52" s="37" t="n"/>
    </row>
    <row r="53">
      <c r="A53" s="37" t="n"/>
      <c r="B53" s="38" t="n"/>
      <c r="C53" s="37" t="n"/>
      <c r="D53" s="37" t="n"/>
      <c r="E53" s="37" t="n"/>
      <c r="F53" s="37" t="n"/>
      <c r="G53" s="37" t="n"/>
      <c r="H53" s="37" t="n"/>
      <c r="I53" s="37" t="n"/>
      <c r="J53" s="38" t="n"/>
      <c r="K53" s="6">
        <f>IF(B53="","",IF(J53="",TODAY()-B53,J53-B53))</f>
        <v/>
      </c>
      <c r="L53" s="37" t="n"/>
      <c r="M53" s="37" t="n"/>
    </row>
    <row r="54">
      <c r="A54" s="37" t="n"/>
      <c r="B54" s="38" t="n"/>
      <c r="C54" s="37" t="n"/>
      <c r="D54" s="37" t="n"/>
      <c r="E54" s="37" t="n"/>
      <c r="F54" s="37" t="n"/>
      <c r="G54" s="37" t="n"/>
      <c r="H54" s="37" t="n"/>
      <c r="I54" s="37" t="n"/>
      <c r="J54" s="38" t="n"/>
      <c r="K54" s="6">
        <f>IF(B54="","",IF(J54="",TODAY()-B54,J54-B54))</f>
        <v/>
      </c>
      <c r="L54" s="37" t="n"/>
      <c r="M54" s="37" t="n"/>
    </row>
    <row r="55">
      <c r="A55" s="37" t="n"/>
      <c r="B55" s="38" t="n"/>
      <c r="C55" s="37" t="n"/>
      <c r="D55" s="37" t="n"/>
      <c r="E55" s="37" t="n"/>
      <c r="F55" s="37" t="n"/>
      <c r="G55" s="37" t="n"/>
      <c r="H55" s="37" t="n"/>
      <c r="I55" s="37" t="n"/>
      <c r="J55" s="38" t="n"/>
      <c r="K55" s="6">
        <f>IF(B55="","",IF(J55="",TODAY()-B55,J55-B55))</f>
        <v/>
      </c>
      <c r="L55" s="37" t="n"/>
      <c r="M55" s="37" t="n"/>
    </row>
    <row r="56">
      <c r="A56" s="37" t="n"/>
      <c r="B56" s="38" t="n"/>
      <c r="C56" s="37" t="n"/>
      <c r="D56" s="37" t="n"/>
      <c r="E56" s="37" t="n"/>
      <c r="F56" s="37" t="n"/>
      <c r="G56" s="37" t="n"/>
      <c r="H56" s="37" t="n"/>
      <c r="I56" s="37" t="n"/>
      <c r="J56" s="38" t="n"/>
      <c r="K56" s="6">
        <f>IF(B56="","",IF(J56="",TODAY()-B56,J56-B56))</f>
        <v/>
      </c>
      <c r="L56" s="37" t="n"/>
      <c r="M56" s="37" t="n"/>
    </row>
    <row r="57">
      <c r="A57" s="37" t="n"/>
      <c r="B57" s="38" t="n"/>
      <c r="C57" s="37" t="n"/>
      <c r="D57" s="37" t="n"/>
      <c r="E57" s="37" t="n"/>
      <c r="F57" s="37" t="n"/>
      <c r="G57" s="37" t="n"/>
      <c r="H57" s="37" t="n"/>
      <c r="I57" s="37" t="n"/>
      <c r="J57" s="38" t="n"/>
      <c r="K57" s="6">
        <f>IF(B57="","",IF(J57="",TODAY()-B57,J57-B57))</f>
        <v/>
      </c>
      <c r="L57" s="37" t="n"/>
      <c r="M57" s="37" t="n"/>
    </row>
    <row r="58">
      <c r="A58" s="37" t="n"/>
      <c r="B58" s="38" t="n"/>
      <c r="C58" s="37" t="n"/>
      <c r="D58" s="37" t="n"/>
      <c r="E58" s="37" t="n"/>
      <c r="F58" s="37" t="n"/>
      <c r="G58" s="37" t="n"/>
      <c r="H58" s="37" t="n"/>
      <c r="I58" s="37" t="n"/>
      <c r="J58" s="38" t="n"/>
      <c r="K58" s="6">
        <f>IF(B58="","",IF(J58="",TODAY()-B58,J58-B58))</f>
        <v/>
      </c>
      <c r="L58" s="37" t="n"/>
      <c r="M58" s="37" t="n"/>
    </row>
    <row r="59">
      <c r="A59" s="37" t="n"/>
      <c r="B59" s="38" t="n"/>
      <c r="C59" s="37" t="n"/>
      <c r="D59" s="37" t="n"/>
      <c r="E59" s="37" t="n"/>
      <c r="F59" s="37" t="n"/>
      <c r="G59" s="37" t="n"/>
      <c r="H59" s="37" t="n"/>
      <c r="I59" s="37" t="n"/>
      <c r="J59" s="38" t="n"/>
      <c r="K59" s="6">
        <f>IF(B59="","",IF(J59="",TODAY()-B59,J59-B59))</f>
        <v/>
      </c>
      <c r="L59" s="37" t="n"/>
      <c r="M59" s="37" t="n"/>
    </row>
    <row r="60">
      <c r="A60" s="37" t="n"/>
      <c r="B60" s="38" t="n"/>
      <c r="C60" s="37" t="n"/>
      <c r="D60" s="37" t="n"/>
      <c r="E60" s="37" t="n"/>
      <c r="F60" s="37" t="n"/>
      <c r="G60" s="37" t="n"/>
      <c r="H60" s="37" t="n"/>
      <c r="I60" s="37" t="n"/>
      <c r="J60" s="38" t="n"/>
      <c r="K60" s="6">
        <f>IF(B60="","",IF(J60="",TODAY()-B60,J60-B60))</f>
        <v/>
      </c>
      <c r="L60" s="37" t="n"/>
      <c r="M60" s="37" t="n"/>
    </row>
    <row r="61">
      <c r="A61" s="37" t="n"/>
      <c r="B61" s="38" t="n"/>
      <c r="C61" s="37" t="n"/>
      <c r="D61" s="37" t="n"/>
      <c r="E61" s="37" t="n"/>
      <c r="F61" s="37" t="n"/>
      <c r="G61" s="37" t="n"/>
      <c r="H61" s="37" t="n"/>
      <c r="I61" s="37" t="n"/>
      <c r="J61" s="38" t="n"/>
      <c r="K61" s="6">
        <f>IF(B61="","",IF(J61="",TODAY()-B61,J61-B61))</f>
        <v/>
      </c>
      <c r="L61" s="37" t="n"/>
      <c r="M61" s="37" t="n"/>
    </row>
    <row r="62">
      <c r="A62" s="37" t="n"/>
      <c r="B62" s="38" t="n"/>
      <c r="C62" s="37" t="n"/>
      <c r="D62" s="37" t="n"/>
      <c r="E62" s="37" t="n"/>
      <c r="F62" s="37" t="n"/>
      <c r="G62" s="37" t="n"/>
      <c r="H62" s="37" t="n"/>
      <c r="I62" s="37" t="n"/>
      <c r="J62" s="38" t="n"/>
      <c r="K62" s="6">
        <f>IF(B62="","",IF(J62="",TODAY()-B62,J62-B62))</f>
        <v/>
      </c>
      <c r="L62" s="37" t="n"/>
      <c r="M62" s="37" t="n"/>
    </row>
    <row r="63">
      <c r="A63" s="37" t="n"/>
      <c r="B63" s="38" t="n"/>
      <c r="C63" s="37" t="n"/>
      <c r="D63" s="37" t="n"/>
      <c r="E63" s="37" t="n"/>
      <c r="F63" s="37" t="n"/>
      <c r="G63" s="37" t="n"/>
      <c r="H63" s="37" t="n"/>
      <c r="I63" s="37" t="n"/>
      <c r="J63" s="38" t="n"/>
      <c r="K63" s="6">
        <f>IF(B63="","",IF(J63="",TODAY()-B63,J63-B63))</f>
        <v/>
      </c>
      <c r="L63" s="37" t="n"/>
      <c r="M63" s="37" t="n"/>
    </row>
    <row r="64">
      <c r="A64" s="37" t="n"/>
      <c r="B64" s="38" t="n"/>
      <c r="C64" s="37" t="n"/>
      <c r="D64" s="37" t="n"/>
      <c r="E64" s="37" t="n"/>
      <c r="F64" s="37" t="n"/>
      <c r="G64" s="37" t="n"/>
      <c r="H64" s="37" t="n"/>
      <c r="I64" s="37" t="n"/>
      <c r="J64" s="38" t="n"/>
      <c r="K64" s="6">
        <f>IF(B64="","",IF(J64="",TODAY()-B64,J64-B64))</f>
        <v/>
      </c>
      <c r="L64" s="37" t="n"/>
      <c r="M64" s="37" t="n"/>
    </row>
    <row r="65">
      <c r="A65" s="37" t="n"/>
      <c r="B65" s="38" t="n"/>
      <c r="C65" s="37" t="n"/>
      <c r="D65" s="37" t="n"/>
      <c r="E65" s="37" t="n"/>
      <c r="F65" s="37" t="n"/>
      <c r="G65" s="37" t="n"/>
      <c r="H65" s="37" t="n"/>
      <c r="I65" s="37" t="n"/>
      <c r="J65" s="38" t="n"/>
      <c r="K65" s="6">
        <f>IF(B65="","",IF(J65="",TODAY()-B65,J65-B65))</f>
        <v/>
      </c>
      <c r="L65" s="37" t="n"/>
      <c r="M65" s="37" t="n"/>
    </row>
    <row r="66">
      <c r="A66" s="37" t="n"/>
      <c r="B66" s="38" t="n"/>
      <c r="C66" s="37" t="n"/>
      <c r="D66" s="37" t="n"/>
      <c r="E66" s="37" t="n"/>
      <c r="F66" s="37" t="n"/>
      <c r="G66" s="37" t="n"/>
      <c r="H66" s="37" t="n"/>
      <c r="I66" s="37" t="n"/>
      <c r="J66" s="38" t="n"/>
      <c r="K66" s="6">
        <f>IF(B66="","",IF(J66="",TODAY()-B66,J66-B66))</f>
        <v/>
      </c>
      <c r="L66" s="37" t="n"/>
      <c r="M66" s="37" t="n"/>
    </row>
    <row r="67">
      <c r="A67" s="37" t="n"/>
      <c r="B67" s="38" t="n"/>
      <c r="C67" s="37" t="n"/>
      <c r="D67" s="37" t="n"/>
      <c r="E67" s="37" t="n"/>
      <c r="F67" s="37" t="n"/>
      <c r="G67" s="37" t="n"/>
      <c r="H67" s="37" t="n"/>
      <c r="I67" s="37" t="n"/>
      <c r="J67" s="38" t="n"/>
      <c r="K67" s="6">
        <f>IF(B67="","",IF(J67="",TODAY()-B67,J67-B67))</f>
        <v/>
      </c>
      <c r="L67" s="37" t="n"/>
      <c r="M67" s="37" t="n"/>
    </row>
    <row r="68">
      <c r="A68" s="37" t="n"/>
      <c r="B68" s="38" t="n"/>
      <c r="C68" s="37" t="n"/>
      <c r="D68" s="37" t="n"/>
      <c r="E68" s="37" t="n"/>
      <c r="F68" s="37" t="n"/>
      <c r="G68" s="37" t="n"/>
      <c r="H68" s="37" t="n"/>
      <c r="I68" s="37" t="n"/>
      <c r="J68" s="38" t="n"/>
      <c r="K68" s="6">
        <f>IF(B68="","",IF(J68="",TODAY()-B68,J68-B68))</f>
        <v/>
      </c>
      <c r="L68" s="37" t="n"/>
      <c r="M68" s="37" t="n"/>
    </row>
    <row r="69">
      <c r="A69" s="37" t="n"/>
      <c r="B69" s="38" t="n"/>
      <c r="C69" s="37" t="n"/>
      <c r="D69" s="37" t="n"/>
      <c r="E69" s="37" t="n"/>
      <c r="F69" s="37" t="n"/>
      <c r="G69" s="37" t="n"/>
      <c r="H69" s="37" t="n"/>
      <c r="I69" s="37" t="n"/>
      <c r="J69" s="38" t="n"/>
      <c r="K69" s="6">
        <f>IF(B69="","",IF(J69="",TODAY()-B69,J69-B69))</f>
        <v/>
      </c>
      <c r="L69" s="37" t="n"/>
      <c r="M69" s="37" t="n"/>
    </row>
    <row r="70">
      <c r="A70" s="37" t="n"/>
      <c r="B70" s="38" t="n"/>
      <c r="C70" s="37" t="n"/>
      <c r="D70" s="37" t="n"/>
      <c r="E70" s="37" t="n"/>
      <c r="F70" s="37" t="n"/>
      <c r="G70" s="37" t="n"/>
      <c r="H70" s="37" t="n"/>
      <c r="I70" s="37" t="n"/>
      <c r="J70" s="38" t="n"/>
      <c r="K70" s="6">
        <f>IF(B70="","",IF(J70="",TODAY()-B70,J70-B70))</f>
        <v/>
      </c>
      <c r="L70" s="37" t="n"/>
      <c r="M70" s="37" t="n"/>
    </row>
    <row r="71">
      <c r="A71" s="37" t="n"/>
      <c r="B71" s="38" t="n"/>
      <c r="C71" s="37" t="n"/>
      <c r="D71" s="37" t="n"/>
      <c r="E71" s="37" t="n"/>
      <c r="F71" s="37" t="n"/>
      <c r="G71" s="37" t="n"/>
      <c r="H71" s="37" t="n"/>
      <c r="I71" s="37" t="n"/>
      <c r="J71" s="38" t="n"/>
      <c r="K71" s="6">
        <f>IF(B71="","",IF(J71="",TODAY()-B71,J71-B71))</f>
        <v/>
      </c>
      <c r="L71" s="37" t="n"/>
      <c r="M71" s="37" t="n"/>
    </row>
    <row r="72">
      <c r="A72" s="37" t="n"/>
      <c r="B72" s="38" t="n"/>
      <c r="C72" s="37" t="n"/>
      <c r="D72" s="37" t="n"/>
      <c r="E72" s="37" t="n"/>
      <c r="F72" s="37" t="n"/>
      <c r="G72" s="37" t="n"/>
      <c r="H72" s="37" t="n"/>
      <c r="I72" s="37" t="n"/>
      <c r="J72" s="38" t="n"/>
      <c r="K72" s="6">
        <f>IF(B72="","",IF(J72="",TODAY()-B72,J72-B72))</f>
        <v/>
      </c>
      <c r="L72" s="37" t="n"/>
      <c r="M72" s="37" t="n"/>
    </row>
    <row r="73">
      <c r="A73" s="37" t="n"/>
      <c r="B73" s="38" t="n"/>
      <c r="C73" s="37" t="n"/>
      <c r="D73" s="37" t="n"/>
      <c r="E73" s="37" t="n"/>
      <c r="F73" s="37" t="n"/>
      <c r="G73" s="37" t="n"/>
      <c r="H73" s="37" t="n"/>
      <c r="I73" s="37" t="n"/>
      <c r="J73" s="38" t="n"/>
      <c r="K73" s="6">
        <f>IF(B73="","",IF(J73="",TODAY()-B73,J73-B73))</f>
        <v/>
      </c>
      <c r="L73" s="37" t="n"/>
      <c r="M73" s="37" t="n"/>
    </row>
    <row r="74">
      <c r="A74" s="37" t="n"/>
      <c r="B74" s="38" t="n"/>
      <c r="C74" s="37" t="n"/>
      <c r="D74" s="37" t="n"/>
      <c r="E74" s="37" t="n"/>
      <c r="F74" s="37" t="n"/>
      <c r="G74" s="37" t="n"/>
      <c r="H74" s="37" t="n"/>
      <c r="I74" s="37" t="n"/>
      <c r="J74" s="38" t="n"/>
      <c r="K74" s="6">
        <f>IF(B74="","",IF(J74="",TODAY()-B74,J74-B74))</f>
        <v/>
      </c>
      <c r="L74" s="37" t="n"/>
      <c r="M74" s="37" t="n"/>
    </row>
    <row r="75">
      <c r="A75" s="37" t="n"/>
      <c r="B75" s="38" t="n"/>
      <c r="C75" s="37" t="n"/>
      <c r="D75" s="37" t="n"/>
      <c r="E75" s="37" t="n"/>
      <c r="F75" s="37" t="n"/>
      <c r="G75" s="37" t="n"/>
      <c r="H75" s="37" t="n"/>
      <c r="I75" s="37" t="n"/>
      <c r="J75" s="38" t="n"/>
      <c r="K75" s="6">
        <f>IF(B75="","",IF(J75="",TODAY()-B75,J75-B75))</f>
        <v/>
      </c>
      <c r="L75" s="37" t="n"/>
      <c r="M75" s="37" t="n"/>
    </row>
    <row r="76">
      <c r="A76" s="37" t="n"/>
      <c r="B76" s="38" t="n"/>
      <c r="C76" s="37" t="n"/>
      <c r="D76" s="37" t="n"/>
      <c r="E76" s="37" t="n"/>
      <c r="F76" s="37" t="n"/>
      <c r="G76" s="37" t="n"/>
      <c r="H76" s="37" t="n"/>
      <c r="I76" s="37" t="n"/>
      <c r="J76" s="38" t="n"/>
      <c r="K76" s="6">
        <f>IF(B76="","",IF(J76="",TODAY()-B76,J76-B76))</f>
        <v/>
      </c>
      <c r="L76" s="37" t="n"/>
      <c r="M76" s="37" t="n"/>
    </row>
    <row r="77">
      <c r="A77" s="37" t="n"/>
      <c r="B77" s="38" t="n"/>
      <c r="C77" s="37" t="n"/>
      <c r="D77" s="37" t="n"/>
      <c r="E77" s="37" t="n"/>
      <c r="F77" s="37" t="n"/>
      <c r="G77" s="37" t="n"/>
      <c r="H77" s="37" t="n"/>
      <c r="I77" s="37" t="n"/>
      <c r="J77" s="38" t="n"/>
      <c r="K77" s="6">
        <f>IF(B77="","",IF(J77="",TODAY()-B77,J77-B77))</f>
        <v/>
      </c>
      <c r="L77" s="37" t="n"/>
      <c r="M77" s="37" t="n"/>
    </row>
    <row r="78">
      <c r="A78" s="37" t="n"/>
      <c r="B78" s="38" t="n"/>
      <c r="C78" s="37" t="n"/>
      <c r="D78" s="37" t="n"/>
      <c r="E78" s="37" t="n"/>
      <c r="F78" s="37" t="n"/>
      <c r="G78" s="37" t="n"/>
      <c r="H78" s="37" t="n"/>
      <c r="I78" s="37" t="n"/>
      <c r="J78" s="38" t="n"/>
      <c r="K78" s="6">
        <f>IF(B78="","",IF(J78="",TODAY()-B78,J78-B78))</f>
        <v/>
      </c>
      <c r="L78" s="37" t="n"/>
      <c r="M78" s="37" t="n"/>
    </row>
    <row r="79">
      <c r="A79" s="37" t="n"/>
      <c r="B79" s="38" t="n"/>
      <c r="C79" s="37" t="n"/>
      <c r="D79" s="37" t="n"/>
      <c r="E79" s="37" t="n"/>
      <c r="F79" s="37" t="n"/>
      <c r="G79" s="37" t="n"/>
      <c r="H79" s="37" t="n"/>
      <c r="I79" s="37" t="n"/>
      <c r="J79" s="38" t="n"/>
      <c r="K79" s="6">
        <f>IF(B79="","",IF(J79="",TODAY()-B79,J79-B79))</f>
        <v/>
      </c>
      <c r="L79" s="37" t="n"/>
      <c r="M79" s="37" t="n"/>
    </row>
    <row r="80">
      <c r="A80" s="37" t="n"/>
      <c r="B80" s="38" t="n"/>
      <c r="C80" s="37" t="n"/>
      <c r="D80" s="37" t="n"/>
      <c r="E80" s="37" t="n"/>
      <c r="F80" s="37" t="n"/>
      <c r="G80" s="37" t="n"/>
      <c r="H80" s="37" t="n"/>
      <c r="I80" s="37" t="n"/>
      <c r="J80" s="38" t="n"/>
      <c r="K80" s="6">
        <f>IF(B80="","",IF(J80="",TODAY()-B80,J80-B80))</f>
        <v/>
      </c>
      <c r="L80" s="37" t="n"/>
      <c r="M80" s="37" t="n"/>
    </row>
    <row r="81">
      <c r="A81" s="37" t="n"/>
      <c r="B81" s="38" t="n"/>
      <c r="C81" s="37" t="n"/>
      <c r="D81" s="37" t="n"/>
      <c r="E81" s="37" t="n"/>
      <c r="F81" s="37" t="n"/>
      <c r="G81" s="37" t="n"/>
      <c r="H81" s="37" t="n"/>
      <c r="I81" s="37" t="n"/>
      <c r="J81" s="38" t="n"/>
      <c r="K81" s="6">
        <f>IF(B81="","",IF(J81="",TODAY()-B81,J81-B81))</f>
        <v/>
      </c>
      <c r="L81" s="37" t="n"/>
      <c r="M81" s="37" t="n"/>
    </row>
    <row r="82">
      <c r="A82" s="37" t="n"/>
      <c r="B82" s="38" t="n"/>
      <c r="C82" s="37" t="n"/>
      <c r="D82" s="37" t="n"/>
      <c r="E82" s="37" t="n"/>
      <c r="F82" s="37" t="n"/>
      <c r="G82" s="37" t="n"/>
      <c r="H82" s="37" t="n"/>
      <c r="I82" s="37" t="n"/>
      <c r="J82" s="38" t="n"/>
      <c r="K82" s="6">
        <f>IF(B82="","",IF(J82="",TODAY()-B82,J82-B82))</f>
        <v/>
      </c>
      <c r="L82" s="37" t="n"/>
      <c r="M82" s="37" t="n"/>
    </row>
    <row r="83">
      <c r="A83" s="37" t="n"/>
      <c r="B83" s="38" t="n"/>
      <c r="C83" s="37" t="n"/>
      <c r="D83" s="37" t="n"/>
      <c r="E83" s="37" t="n"/>
      <c r="F83" s="37" t="n"/>
      <c r="G83" s="37" t="n"/>
      <c r="H83" s="37" t="n"/>
      <c r="I83" s="37" t="n"/>
      <c r="J83" s="38" t="n"/>
      <c r="K83" s="6">
        <f>IF(B83="","",IF(J83="",TODAY()-B83,J83-B83))</f>
        <v/>
      </c>
      <c r="L83" s="37" t="n"/>
      <c r="M83" s="37" t="n"/>
    </row>
    <row r="84">
      <c r="A84" s="37" t="n"/>
      <c r="B84" s="38" t="n"/>
      <c r="C84" s="37" t="n"/>
      <c r="D84" s="37" t="n"/>
      <c r="E84" s="37" t="n"/>
      <c r="F84" s="37" t="n"/>
      <c r="G84" s="37" t="n"/>
      <c r="H84" s="37" t="n"/>
      <c r="I84" s="37" t="n"/>
      <c r="J84" s="38" t="n"/>
      <c r="K84" s="6">
        <f>IF(B84="","",IF(J84="",TODAY()-B84,J84-B84))</f>
        <v/>
      </c>
      <c r="L84" s="37" t="n"/>
      <c r="M84" s="37" t="n"/>
    </row>
    <row r="85">
      <c r="A85" s="37" t="n"/>
      <c r="B85" s="38" t="n"/>
      <c r="C85" s="37" t="n"/>
      <c r="D85" s="37" t="n"/>
      <c r="E85" s="37" t="n"/>
      <c r="F85" s="37" t="n"/>
      <c r="G85" s="37" t="n"/>
      <c r="H85" s="37" t="n"/>
      <c r="I85" s="37" t="n"/>
      <c r="J85" s="38" t="n"/>
      <c r="K85" s="6">
        <f>IF(B85="","",IF(J85="",TODAY()-B85,J85-B85))</f>
        <v/>
      </c>
      <c r="L85" s="37" t="n"/>
      <c r="M85" s="37" t="n"/>
    </row>
    <row r="86">
      <c r="A86" s="37" t="n"/>
      <c r="B86" s="38" t="n"/>
      <c r="C86" s="37" t="n"/>
      <c r="D86" s="37" t="n"/>
      <c r="E86" s="37" t="n"/>
      <c r="F86" s="37" t="n"/>
      <c r="G86" s="37" t="n"/>
      <c r="H86" s="37" t="n"/>
      <c r="I86" s="37" t="n"/>
      <c r="J86" s="38" t="n"/>
      <c r="K86" s="6">
        <f>IF(B86="","",IF(J86="",TODAY()-B86,J86-B86))</f>
        <v/>
      </c>
      <c r="L86" s="37" t="n"/>
      <c r="M86" s="37" t="n"/>
    </row>
    <row r="87">
      <c r="A87" s="37" t="n"/>
      <c r="B87" s="38" t="n"/>
      <c r="C87" s="37" t="n"/>
      <c r="D87" s="37" t="n"/>
      <c r="E87" s="37" t="n"/>
      <c r="F87" s="37" t="n"/>
      <c r="G87" s="37" t="n"/>
      <c r="H87" s="37" t="n"/>
      <c r="I87" s="37" t="n"/>
      <c r="J87" s="38" t="n"/>
      <c r="K87" s="6">
        <f>IF(B87="","",IF(J87="",TODAY()-B87,J87-B87))</f>
        <v/>
      </c>
      <c r="L87" s="37" t="n"/>
      <c r="M87" s="37" t="n"/>
    </row>
    <row r="88">
      <c r="A88" s="37" t="n"/>
      <c r="B88" s="38" t="n"/>
      <c r="C88" s="37" t="n"/>
      <c r="D88" s="37" t="n"/>
      <c r="E88" s="37" t="n"/>
      <c r="F88" s="37" t="n"/>
      <c r="G88" s="37" t="n"/>
      <c r="H88" s="37" t="n"/>
      <c r="I88" s="37" t="n"/>
      <c r="J88" s="38" t="n"/>
      <c r="K88" s="6">
        <f>IF(B88="","",IF(J88="",TODAY()-B88,J88-B88))</f>
        <v/>
      </c>
      <c r="L88" s="37" t="n"/>
      <c r="M88" s="37" t="n"/>
    </row>
    <row r="89">
      <c r="A89" s="37" t="n"/>
      <c r="B89" s="38" t="n"/>
      <c r="C89" s="37" t="n"/>
      <c r="D89" s="37" t="n"/>
      <c r="E89" s="37" t="n"/>
      <c r="F89" s="37" t="n"/>
      <c r="G89" s="37" t="n"/>
      <c r="H89" s="37" t="n"/>
      <c r="I89" s="37" t="n"/>
      <c r="J89" s="38" t="n"/>
      <c r="K89" s="6">
        <f>IF(B89="","",IF(J89="",TODAY()-B89,J89-B89))</f>
        <v/>
      </c>
      <c r="L89" s="37" t="n"/>
      <c r="M89" s="37" t="n"/>
    </row>
    <row r="90">
      <c r="A90" s="37" t="n"/>
      <c r="B90" s="38" t="n"/>
      <c r="C90" s="37" t="n"/>
      <c r="D90" s="37" t="n"/>
      <c r="E90" s="37" t="n"/>
      <c r="F90" s="37" t="n"/>
      <c r="G90" s="37" t="n"/>
      <c r="H90" s="37" t="n"/>
      <c r="I90" s="37" t="n"/>
      <c r="J90" s="38" t="n"/>
      <c r="K90" s="6">
        <f>IF(B90="","",IF(J90="",TODAY()-B90,J90-B90))</f>
        <v/>
      </c>
      <c r="L90" s="37" t="n"/>
      <c r="M90" s="37" t="n"/>
    </row>
    <row r="91">
      <c r="A91" s="37" t="n"/>
      <c r="B91" s="38" t="n"/>
      <c r="C91" s="37" t="n"/>
      <c r="D91" s="37" t="n"/>
      <c r="E91" s="37" t="n"/>
      <c r="F91" s="37" t="n"/>
      <c r="G91" s="37" t="n"/>
      <c r="H91" s="37" t="n"/>
      <c r="I91" s="37" t="n"/>
      <c r="J91" s="38" t="n"/>
      <c r="K91" s="6">
        <f>IF(B91="","",IF(J91="",TODAY()-B91,J91-B91))</f>
        <v/>
      </c>
      <c r="L91" s="37" t="n"/>
      <c r="M91" s="37" t="n"/>
    </row>
    <row r="92">
      <c r="A92" s="37" t="n"/>
      <c r="B92" s="38" t="n"/>
      <c r="C92" s="37" t="n"/>
      <c r="D92" s="37" t="n"/>
      <c r="E92" s="37" t="n"/>
      <c r="F92" s="37" t="n"/>
      <c r="G92" s="37" t="n"/>
      <c r="H92" s="37" t="n"/>
      <c r="I92" s="37" t="n"/>
      <c r="J92" s="38" t="n"/>
      <c r="K92" s="6">
        <f>IF(B92="","",IF(J92="",TODAY()-B92,J92-B92))</f>
        <v/>
      </c>
      <c r="L92" s="37" t="n"/>
      <c r="M92" s="37" t="n"/>
    </row>
    <row r="93">
      <c r="A93" s="37" t="n"/>
      <c r="B93" s="38" t="n"/>
      <c r="C93" s="37" t="n"/>
      <c r="D93" s="37" t="n"/>
      <c r="E93" s="37" t="n"/>
      <c r="F93" s="37" t="n"/>
      <c r="G93" s="37" t="n"/>
      <c r="H93" s="37" t="n"/>
      <c r="I93" s="37" t="n"/>
      <c r="J93" s="38" t="n"/>
      <c r="K93" s="6">
        <f>IF(B93="","",IF(J93="",TODAY()-B93,J93-B93))</f>
        <v/>
      </c>
      <c r="L93" s="37" t="n"/>
      <c r="M93" s="37" t="n"/>
    </row>
    <row r="94">
      <c r="A94" s="37" t="n"/>
      <c r="B94" s="38" t="n"/>
      <c r="C94" s="37" t="n"/>
      <c r="D94" s="37" t="n"/>
      <c r="E94" s="37" t="n"/>
      <c r="F94" s="37" t="n"/>
      <c r="G94" s="37" t="n"/>
      <c r="H94" s="37" t="n"/>
      <c r="I94" s="37" t="n"/>
      <c r="J94" s="38" t="n"/>
      <c r="K94" s="6">
        <f>IF(B94="","",IF(J94="",TODAY()-B94,J94-B94))</f>
        <v/>
      </c>
      <c r="L94" s="37" t="n"/>
      <c r="M94" s="37" t="n"/>
    </row>
    <row r="95">
      <c r="A95" s="37" t="n"/>
      <c r="B95" s="38" t="n"/>
      <c r="C95" s="37" t="n"/>
      <c r="D95" s="37" t="n"/>
      <c r="E95" s="37" t="n"/>
      <c r="F95" s="37" t="n"/>
      <c r="G95" s="37" t="n"/>
      <c r="H95" s="37" t="n"/>
      <c r="I95" s="37" t="n"/>
      <c r="J95" s="38" t="n"/>
      <c r="K95" s="6">
        <f>IF(B95="","",IF(J95="",TODAY()-B95,J95-B95))</f>
        <v/>
      </c>
      <c r="L95" s="37" t="n"/>
      <c r="M95" s="37" t="n"/>
    </row>
    <row r="96">
      <c r="A96" s="37" t="n"/>
      <c r="B96" s="38" t="n"/>
      <c r="C96" s="37" t="n"/>
      <c r="D96" s="37" t="n"/>
      <c r="E96" s="37" t="n"/>
      <c r="F96" s="37" t="n"/>
      <c r="G96" s="37" t="n"/>
      <c r="H96" s="37" t="n"/>
      <c r="I96" s="37" t="n"/>
      <c r="J96" s="38" t="n"/>
      <c r="K96" s="6">
        <f>IF(B96="","",IF(J96="",TODAY()-B96,J96-B96))</f>
        <v/>
      </c>
      <c r="L96" s="37" t="n"/>
      <c r="M96" s="37" t="n"/>
    </row>
    <row r="97">
      <c r="A97" s="37" t="n"/>
      <c r="B97" s="38" t="n"/>
      <c r="C97" s="37" t="n"/>
      <c r="D97" s="37" t="n"/>
      <c r="E97" s="37" t="n"/>
      <c r="F97" s="37" t="n"/>
      <c r="G97" s="37" t="n"/>
      <c r="H97" s="37" t="n"/>
      <c r="I97" s="37" t="n"/>
      <c r="J97" s="38" t="n"/>
      <c r="K97" s="6">
        <f>IF(B97="","",IF(J97="",TODAY()-B97,J97-B97))</f>
        <v/>
      </c>
      <c r="L97" s="37" t="n"/>
      <c r="M97" s="37" t="n"/>
    </row>
    <row r="98">
      <c r="A98" s="37" t="n"/>
      <c r="B98" s="38" t="n"/>
      <c r="C98" s="37" t="n"/>
      <c r="D98" s="37" t="n"/>
      <c r="E98" s="37" t="n"/>
      <c r="F98" s="37" t="n"/>
      <c r="G98" s="37" t="n"/>
      <c r="H98" s="37" t="n"/>
      <c r="I98" s="37" t="n"/>
      <c r="J98" s="38" t="n"/>
      <c r="K98" s="6">
        <f>IF(B98="","",IF(J98="",TODAY()-B98,J98-B98))</f>
        <v/>
      </c>
      <c r="L98" s="37" t="n"/>
      <c r="M98" s="37" t="n"/>
    </row>
    <row r="99">
      <c r="A99" s="37" t="n"/>
      <c r="B99" s="38" t="n"/>
      <c r="C99" s="37" t="n"/>
      <c r="D99" s="37" t="n"/>
      <c r="E99" s="37" t="n"/>
      <c r="F99" s="37" t="n"/>
      <c r="G99" s="37" t="n"/>
      <c r="H99" s="37" t="n"/>
      <c r="I99" s="37" t="n"/>
      <c r="J99" s="38" t="n"/>
      <c r="K99" s="6">
        <f>IF(B99="","",IF(J99="",TODAY()-B99,J99-B99))</f>
        <v/>
      </c>
      <c r="L99" s="37" t="n"/>
      <c r="M99" s="37" t="n"/>
    </row>
    <row r="100">
      <c r="A100" s="37" t="n"/>
      <c r="B100" s="38" t="n"/>
      <c r="C100" s="37" t="n"/>
      <c r="D100" s="37" t="n"/>
      <c r="E100" s="37" t="n"/>
      <c r="F100" s="37" t="n"/>
      <c r="G100" s="37" t="n"/>
      <c r="H100" s="37" t="n"/>
      <c r="I100" s="37" t="n"/>
      <c r="J100" s="38" t="n"/>
      <c r="K100" s="6">
        <f>IF(B100="","",IF(J100="",TODAY()-B100,J100-B100))</f>
        <v/>
      </c>
      <c r="L100" s="37" t="n"/>
      <c r="M100" s="37" t="n"/>
    </row>
    <row r="101">
      <c r="A101" s="37" t="n"/>
      <c r="B101" s="38" t="n"/>
      <c r="C101" s="37" t="n"/>
      <c r="D101" s="37" t="n"/>
      <c r="E101" s="37" t="n"/>
      <c r="F101" s="37" t="n"/>
      <c r="G101" s="37" t="n"/>
      <c r="H101" s="37" t="n"/>
      <c r="I101" s="37" t="n"/>
      <c r="J101" s="38" t="n"/>
      <c r="K101" s="6">
        <f>IF(B101="","",IF(J101="",TODAY()-B101,J101-B101))</f>
        <v/>
      </c>
      <c r="L101" s="37" t="n"/>
      <c r="M101" s="37" t="n"/>
    </row>
    <row r="102">
      <c r="A102" s="37" t="n"/>
      <c r="B102" s="38" t="n"/>
      <c r="C102" s="37" t="n"/>
      <c r="D102" s="37" t="n"/>
      <c r="E102" s="37" t="n"/>
      <c r="F102" s="37" t="n"/>
      <c r="G102" s="37" t="n"/>
      <c r="H102" s="37" t="n"/>
      <c r="I102" s="37" t="n"/>
      <c r="J102" s="38" t="n"/>
      <c r="K102" s="6">
        <f>IF(B102="","",IF(J102="",TODAY()-B102,J102-B102))</f>
        <v/>
      </c>
      <c r="L102" s="37" t="n"/>
      <c r="M102" s="37" t="n"/>
    </row>
    <row r="103">
      <c r="A103" s="37" t="n"/>
      <c r="B103" s="38" t="n"/>
      <c r="C103" s="37" t="n"/>
      <c r="D103" s="37" t="n"/>
      <c r="E103" s="37" t="n"/>
      <c r="F103" s="37" t="n"/>
      <c r="G103" s="37" t="n"/>
      <c r="H103" s="37" t="n"/>
      <c r="I103" s="37" t="n"/>
      <c r="J103" s="38" t="n"/>
      <c r="K103" s="6">
        <f>IF(B103="","",IF(J103="",TODAY()-B103,J103-B103))</f>
        <v/>
      </c>
      <c r="L103" s="37" t="n"/>
      <c r="M103" s="37" t="n"/>
    </row>
    <row r="104">
      <c r="A104" s="37" t="n"/>
      <c r="B104" s="38" t="n"/>
      <c r="C104" s="37" t="n"/>
      <c r="D104" s="37" t="n"/>
      <c r="E104" s="37" t="n"/>
      <c r="F104" s="37" t="n"/>
      <c r="G104" s="37" t="n"/>
      <c r="H104" s="37" t="n"/>
      <c r="I104" s="37" t="n"/>
      <c r="J104" s="38" t="n"/>
      <c r="K104" s="6">
        <f>IF(B104="","",IF(J104="",TODAY()-B104,J104-B104))</f>
        <v/>
      </c>
      <c r="L104" s="37" t="n"/>
      <c r="M104" s="37" t="n"/>
    </row>
    <row r="105">
      <c r="A105" s="37" t="n"/>
      <c r="B105" s="38" t="n"/>
      <c r="C105" s="37" t="n"/>
      <c r="D105" s="37" t="n"/>
      <c r="E105" s="37" t="n"/>
      <c r="F105" s="37" t="n"/>
      <c r="G105" s="37" t="n"/>
      <c r="H105" s="37" t="n"/>
      <c r="I105" s="37" t="n"/>
      <c r="J105" s="38" t="n"/>
      <c r="K105" s="6">
        <f>IF(B105="","",IF(J105="",TODAY()-B105,J105-B105))</f>
        <v/>
      </c>
      <c r="L105" s="37" t="n"/>
      <c r="M105" s="37" t="n"/>
    </row>
    <row r="106">
      <c r="A106" s="37" t="n"/>
      <c r="B106" s="38" t="n"/>
      <c r="C106" s="37" t="n"/>
      <c r="D106" s="37" t="n"/>
      <c r="E106" s="37" t="n"/>
      <c r="F106" s="37" t="n"/>
      <c r="G106" s="37" t="n"/>
      <c r="H106" s="37" t="n"/>
      <c r="I106" s="37" t="n"/>
      <c r="J106" s="38" t="n"/>
      <c r="K106" s="6">
        <f>IF(B106="","",IF(J106="",TODAY()-B106,J106-B106))</f>
        <v/>
      </c>
      <c r="L106" s="37" t="n"/>
      <c r="M106" s="37" t="n"/>
    </row>
    <row r="107">
      <c r="A107" s="37" t="n"/>
      <c r="B107" s="38" t="n"/>
      <c r="C107" s="37" t="n"/>
      <c r="D107" s="37" t="n"/>
      <c r="E107" s="37" t="n"/>
      <c r="F107" s="37" t="n"/>
      <c r="G107" s="37" t="n"/>
      <c r="H107" s="37" t="n"/>
      <c r="I107" s="37" t="n"/>
      <c r="J107" s="38" t="n"/>
      <c r="K107" s="6">
        <f>IF(B107="","",IF(J107="",TODAY()-B107,J107-B107))</f>
        <v/>
      </c>
      <c r="L107" s="37" t="n"/>
      <c r="M107" s="37" t="n"/>
    </row>
    <row r="108">
      <c r="A108" s="37" t="n"/>
      <c r="B108" s="38" t="n"/>
      <c r="C108" s="37" t="n"/>
      <c r="D108" s="37" t="n"/>
      <c r="E108" s="37" t="n"/>
      <c r="F108" s="37" t="n"/>
      <c r="G108" s="37" t="n"/>
      <c r="H108" s="37" t="n"/>
      <c r="I108" s="37" t="n"/>
      <c r="J108" s="38" t="n"/>
      <c r="K108" s="6">
        <f>IF(B108="","",IF(J108="",TODAY()-B108,J108-B108))</f>
        <v/>
      </c>
      <c r="L108" s="37" t="n"/>
      <c r="M108" s="37" t="n"/>
    </row>
    <row r="109">
      <c r="A109" s="37" t="n"/>
      <c r="B109" s="38" t="n"/>
      <c r="C109" s="37" t="n"/>
      <c r="D109" s="37" t="n"/>
      <c r="E109" s="37" t="n"/>
      <c r="F109" s="37" t="n"/>
      <c r="G109" s="37" t="n"/>
      <c r="H109" s="37" t="n"/>
      <c r="I109" s="37" t="n"/>
      <c r="J109" s="38" t="n"/>
      <c r="K109" s="6">
        <f>IF(B109="","",IF(J109="",TODAY()-B109,J109-B109))</f>
        <v/>
      </c>
      <c r="L109" s="37" t="n"/>
      <c r="M109" s="37" t="n"/>
    </row>
    <row r="110">
      <c r="A110" s="37" t="n"/>
      <c r="B110" s="38" t="n"/>
      <c r="C110" s="37" t="n"/>
      <c r="D110" s="37" t="n"/>
      <c r="E110" s="37" t="n"/>
      <c r="F110" s="37" t="n"/>
      <c r="G110" s="37" t="n"/>
      <c r="H110" s="37" t="n"/>
      <c r="I110" s="37" t="n"/>
      <c r="J110" s="38" t="n"/>
      <c r="K110" s="6">
        <f>IF(B110="","",IF(J110="",TODAY()-B110,J110-B110))</f>
        <v/>
      </c>
      <c r="L110" s="37" t="n"/>
      <c r="M110" s="37" t="n"/>
    </row>
    <row r="111">
      <c r="A111" s="37" t="n"/>
      <c r="B111" s="38" t="n"/>
      <c r="C111" s="37" t="n"/>
      <c r="D111" s="37" t="n"/>
      <c r="E111" s="37" t="n"/>
      <c r="F111" s="37" t="n"/>
      <c r="G111" s="37" t="n"/>
      <c r="H111" s="37" t="n"/>
      <c r="I111" s="37" t="n"/>
      <c r="J111" s="38" t="n"/>
      <c r="K111" s="6">
        <f>IF(B111="","",IF(J111="",TODAY()-B111,J111-B111))</f>
        <v/>
      </c>
      <c r="L111" s="37" t="n"/>
      <c r="M111" s="37" t="n"/>
    </row>
    <row r="112">
      <c r="A112" s="37" t="n"/>
      <c r="B112" s="38" t="n"/>
      <c r="C112" s="37" t="n"/>
      <c r="D112" s="37" t="n"/>
      <c r="E112" s="37" t="n"/>
      <c r="F112" s="37" t="n"/>
      <c r="G112" s="37" t="n"/>
      <c r="H112" s="37" t="n"/>
      <c r="I112" s="37" t="n"/>
      <c r="J112" s="38" t="n"/>
      <c r="K112" s="6">
        <f>IF(B112="","",IF(J112="",TODAY()-B112,J112-B112))</f>
        <v/>
      </c>
      <c r="L112" s="37" t="n"/>
      <c r="M112" s="37" t="n"/>
    </row>
    <row r="113">
      <c r="A113" s="37" t="n"/>
      <c r="B113" s="38" t="n"/>
      <c r="C113" s="37" t="n"/>
      <c r="D113" s="37" t="n"/>
      <c r="E113" s="37" t="n"/>
      <c r="F113" s="37" t="n"/>
      <c r="G113" s="37" t="n"/>
      <c r="H113" s="37" t="n"/>
      <c r="I113" s="37" t="n"/>
      <c r="J113" s="38" t="n"/>
      <c r="K113" s="6">
        <f>IF(B113="","",IF(J113="",TODAY()-B113,J113-B113))</f>
        <v/>
      </c>
      <c r="L113" s="37" t="n"/>
      <c r="M113" s="37" t="n"/>
    </row>
    <row r="114">
      <c r="A114" s="37" t="n"/>
      <c r="B114" s="38" t="n"/>
      <c r="C114" s="37" t="n"/>
      <c r="D114" s="37" t="n"/>
      <c r="E114" s="37" t="n"/>
      <c r="F114" s="37" t="n"/>
      <c r="G114" s="37" t="n"/>
      <c r="H114" s="37" t="n"/>
      <c r="I114" s="37" t="n"/>
      <c r="J114" s="38" t="n"/>
      <c r="K114" s="6">
        <f>IF(B114="","",IF(J114="",TODAY()-B114,J114-B114))</f>
        <v/>
      </c>
      <c r="L114" s="37" t="n"/>
      <c r="M114" s="37" t="n"/>
    </row>
    <row r="115">
      <c r="A115" s="37" t="n"/>
      <c r="B115" s="38" t="n"/>
      <c r="C115" s="37" t="n"/>
      <c r="D115" s="37" t="n"/>
      <c r="E115" s="37" t="n"/>
      <c r="F115" s="37" t="n"/>
      <c r="G115" s="37" t="n"/>
      <c r="H115" s="37" t="n"/>
      <c r="I115" s="37" t="n"/>
      <c r="J115" s="38" t="n"/>
      <c r="K115" s="6">
        <f>IF(B115="","",IF(J115="",TODAY()-B115,J115-B115))</f>
        <v/>
      </c>
      <c r="L115" s="37" t="n"/>
      <c r="M115" s="37" t="n"/>
    </row>
    <row r="116">
      <c r="A116" s="37" t="n"/>
      <c r="B116" s="38" t="n"/>
      <c r="C116" s="37" t="n"/>
      <c r="D116" s="37" t="n"/>
      <c r="E116" s="37" t="n"/>
      <c r="F116" s="37" t="n"/>
      <c r="G116" s="37" t="n"/>
      <c r="H116" s="37" t="n"/>
      <c r="I116" s="37" t="n"/>
      <c r="J116" s="38" t="n"/>
      <c r="K116" s="6">
        <f>IF(B116="","",IF(J116="",TODAY()-B116,J116-B116))</f>
        <v/>
      </c>
      <c r="L116" s="37" t="n"/>
      <c r="M116" s="37" t="n"/>
    </row>
    <row r="117">
      <c r="A117" s="37" t="n"/>
      <c r="B117" s="38" t="n"/>
      <c r="C117" s="37" t="n"/>
      <c r="D117" s="37" t="n"/>
      <c r="E117" s="37" t="n"/>
      <c r="F117" s="37" t="n"/>
      <c r="G117" s="37" t="n"/>
      <c r="H117" s="37" t="n"/>
      <c r="I117" s="37" t="n"/>
      <c r="J117" s="38" t="n"/>
      <c r="K117" s="6">
        <f>IF(B117="","",IF(J117="",TODAY()-B117,J117-B117))</f>
        <v/>
      </c>
      <c r="L117" s="37" t="n"/>
      <c r="M117" s="37" t="n"/>
    </row>
    <row r="118">
      <c r="A118" s="37" t="n"/>
      <c r="B118" s="38" t="n"/>
      <c r="C118" s="37" t="n"/>
      <c r="D118" s="37" t="n"/>
      <c r="E118" s="37" t="n"/>
      <c r="F118" s="37" t="n"/>
      <c r="G118" s="37" t="n"/>
      <c r="H118" s="37" t="n"/>
      <c r="I118" s="37" t="n"/>
      <c r="J118" s="38" t="n"/>
      <c r="K118" s="6">
        <f>IF(B118="","",IF(J118="",TODAY()-B118,J118-B118))</f>
        <v/>
      </c>
      <c r="L118" s="37" t="n"/>
      <c r="M118" s="37" t="n"/>
    </row>
    <row r="119">
      <c r="A119" s="37" t="n"/>
      <c r="B119" s="38" t="n"/>
      <c r="C119" s="37" t="n"/>
      <c r="D119" s="37" t="n"/>
      <c r="E119" s="37" t="n"/>
      <c r="F119" s="37" t="n"/>
      <c r="G119" s="37" t="n"/>
      <c r="H119" s="37" t="n"/>
      <c r="I119" s="37" t="n"/>
      <c r="J119" s="38" t="n"/>
      <c r="K119" s="6">
        <f>IF(B119="","",IF(J119="",TODAY()-B119,J119-B119))</f>
        <v/>
      </c>
      <c r="L119" s="37" t="n"/>
      <c r="M119" s="37" t="n"/>
    </row>
    <row r="120">
      <c r="A120" s="37" t="n"/>
      <c r="B120" s="38" t="n"/>
      <c r="C120" s="37" t="n"/>
      <c r="D120" s="37" t="n"/>
      <c r="E120" s="37" t="n"/>
      <c r="F120" s="37" t="n"/>
      <c r="G120" s="37" t="n"/>
      <c r="H120" s="37" t="n"/>
      <c r="I120" s="37" t="n"/>
      <c r="J120" s="38" t="n"/>
      <c r="K120" s="6">
        <f>IF(B120="","",IF(J120="",TODAY()-B120,J120-B120))</f>
        <v/>
      </c>
      <c r="L120" s="37" t="n"/>
      <c r="M120" s="37" t="n"/>
    </row>
    <row r="121">
      <c r="A121" s="37" t="n"/>
      <c r="B121" s="38" t="n"/>
      <c r="C121" s="37" t="n"/>
      <c r="D121" s="37" t="n"/>
      <c r="E121" s="37" t="n"/>
      <c r="F121" s="37" t="n"/>
      <c r="G121" s="37" t="n"/>
      <c r="H121" s="37" t="n"/>
      <c r="I121" s="37" t="n"/>
      <c r="J121" s="38" t="n"/>
      <c r="K121" s="6">
        <f>IF(B121="","",IF(J121="",TODAY()-B121,J121-B121))</f>
        <v/>
      </c>
      <c r="L121" s="37" t="n"/>
      <c r="M121" s="37" t="n"/>
    </row>
    <row r="122">
      <c r="A122" s="37" t="n"/>
      <c r="B122" s="38" t="n"/>
      <c r="C122" s="37" t="n"/>
      <c r="D122" s="37" t="n"/>
      <c r="E122" s="37" t="n"/>
      <c r="F122" s="37" t="n"/>
      <c r="G122" s="37" t="n"/>
      <c r="H122" s="37" t="n"/>
      <c r="I122" s="37" t="n"/>
      <c r="J122" s="38" t="n"/>
      <c r="K122" s="6">
        <f>IF(B122="","",IF(J122="",TODAY()-B122,J122-B122))</f>
        <v/>
      </c>
      <c r="L122" s="37" t="n"/>
      <c r="M122" s="37" t="n"/>
    </row>
    <row r="123">
      <c r="A123" s="37" t="n"/>
      <c r="B123" s="38" t="n"/>
      <c r="C123" s="37" t="n"/>
      <c r="D123" s="37" t="n"/>
      <c r="E123" s="37" t="n"/>
      <c r="F123" s="37" t="n"/>
      <c r="G123" s="37" t="n"/>
      <c r="H123" s="37" t="n"/>
      <c r="I123" s="37" t="n"/>
      <c r="J123" s="38" t="n"/>
      <c r="K123" s="6">
        <f>IF(B123="","",IF(J123="",TODAY()-B123,J123-B123))</f>
        <v/>
      </c>
      <c r="L123" s="37" t="n"/>
      <c r="M123" s="37" t="n"/>
    </row>
    <row r="124">
      <c r="A124" s="37" t="n"/>
      <c r="B124" s="38" t="n"/>
      <c r="C124" s="37" t="n"/>
      <c r="D124" s="37" t="n"/>
      <c r="E124" s="37" t="n"/>
      <c r="F124" s="37" t="n"/>
      <c r="G124" s="37" t="n"/>
      <c r="H124" s="37" t="n"/>
      <c r="I124" s="37" t="n"/>
      <c r="J124" s="38" t="n"/>
      <c r="K124" s="6">
        <f>IF(B124="","",IF(J124="",TODAY()-B124,J124-B124))</f>
        <v/>
      </c>
      <c r="L124" s="37" t="n"/>
      <c r="M124" s="37" t="n"/>
    </row>
    <row r="125">
      <c r="A125" s="37" t="n"/>
      <c r="B125" s="38" t="n"/>
      <c r="C125" s="37" t="n"/>
      <c r="D125" s="37" t="n"/>
      <c r="E125" s="37" t="n"/>
      <c r="F125" s="37" t="n"/>
      <c r="G125" s="37" t="n"/>
      <c r="H125" s="37" t="n"/>
      <c r="I125" s="37" t="n"/>
      <c r="J125" s="38" t="n"/>
      <c r="K125" s="6">
        <f>IF(B125="","",IF(J125="",TODAY()-B125,J125-B125))</f>
        <v/>
      </c>
      <c r="L125" s="37" t="n"/>
      <c r="M125" s="37" t="n"/>
    </row>
    <row r="126">
      <c r="A126" s="37" t="n"/>
      <c r="B126" s="38" t="n"/>
      <c r="C126" s="37" t="n"/>
      <c r="D126" s="37" t="n"/>
      <c r="E126" s="37" t="n"/>
      <c r="F126" s="37" t="n"/>
      <c r="G126" s="37" t="n"/>
      <c r="H126" s="37" t="n"/>
      <c r="I126" s="37" t="n"/>
      <c r="J126" s="38" t="n"/>
      <c r="K126" s="6">
        <f>IF(B126="","",IF(J126="",TODAY()-B126,J126-B126))</f>
        <v/>
      </c>
      <c r="L126" s="37" t="n"/>
      <c r="M126" s="37" t="n"/>
    </row>
    <row r="127">
      <c r="A127" s="37" t="n"/>
      <c r="B127" s="38" t="n"/>
      <c r="C127" s="37" t="n"/>
      <c r="D127" s="37" t="n"/>
      <c r="E127" s="37" t="n"/>
      <c r="F127" s="37" t="n"/>
      <c r="G127" s="37" t="n"/>
      <c r="H127" s="37" t="n"/>
      <c r="I127" s="37" t="n"/>
      <c r="J127" s="38" t="n"/>
      <c r="K127" s="6">
        <f>IF(B127="","",IF(J127="",TODAY()-B127,J127-B127))</f>
        <v/>
      </c>
      <c r="L127" s="37" t="n"/>
      <c r="M127" s="37" t="n"/>
    </row>
    <row r="128">
      <c r="A128" s="37" t="n"/>
      <c r="B128" s="38" t="n"/>
      <c r="C128" s="37" t="n"/>
      <c r="D128" s="37" t="n"/>
      <c r="E128" s="37" t="n"/>
      <c r="F128" s="37" t="n"/>
      <c r="G128" s="37" t="n"/>
      <c r="H128" s="37" t="n"/>
      <c r="I128" s="37" t="n"/>
      <c r="J128" s="38" t="n"/>
      <c r="K128" s="6">
        <f>IF(B128="","",IF(J128="",TODAY()-B128,J128-B128))</f>
        <v/>
      </c>
      <c r="L128" s="37" t="n"/>
      <c r="M128" s="37" t="n"/>
    </row>
    <row r="129">
      <c r="A129" s="37" t="n"/>
      <c r="B129" s="38" t="n"/>
      <c r="C129" s="37" t="n"/>
      <c r="D129" s="37" t="n"/>
      <c r="E129" s="37" t="n"/>
      <c r="F129" s="37" t="n"/>
      <c r="G129" s="37" t="n"/>
      <c r="H129" s="37" t="n"/>
      <c r="I129" s="37" t="n"/>
      <c r="J129" s="38" t="n"/>
      <c r="K129" s="6">
        <f>IF(B129="","",IF(J129="",TODAY()-B129,J129-B129))</f>
        <v/>
      </c>
      <c r="L129" s="37" t="n"/>
      <c r="M129" s="37" t="n"/>
    </row>
    <row r="130">
      <c r="A130" s="37" t="n"/>
      <c r="B130" s="38" t="n"/>
      <c r="C130" s="37" t="n"/>
      <c r="D130" s="37" t="n"/>
      <c r="E130" s="37" t="n"/>
      <c r="F130" s="37" t="n"/>
      <c r="G130" s="37" t="n"/>
      <c r="H130" s="37" t="n"/>
      <c r="I130" s="37" t="n"/>
      <c r="J130" s="38" t="n"/>
      <c r="K130" s="6">
        <f>IF(B130="","",IF(J130="",TODAY()-B130,J130-B130))</f>
        <v/>
      </c>
      <c r="L130" s="37" t="n"/>
      <c r="M130" s="37" t="n"/>
    </row>
    <row r="131">
      <c r="A131" s="37" t="n"/>
      <c r="B131" s="38" t="n"/>
      <c r="C131" s="37" t="n"/>
      <c r="D131" s="37" t="n"/>
      <c r="E131" s="37" t="n"/>
      <c r="F131" s="37" t="n"/>
      <c r="G131" s="37" t="n"/>
      <c r="H131" s="37" t="n"/>
      <c r="I131" s="37" t="n"/>
      <c r="J131" s="38" t="n"/>
      <c r="K131" s="6">
        <f>IF(B131="","",IF(J131="",TODAY()-B131,J131-B131))</f>
        <v/>
      </c>
      <c r="L131" s="37" t="n"/>
      <c r="M131" s="37" t="n"/>
    </row>
    <row r="132">
      <c r="A132" s="37" t="n"/>
      <c r="B132" s="38" t="n"/>
      <c r="C132" s="37" t="n"/>
      <c r="D132" s="37" t="n"/>
      <c r="E132" s="37" t="n"/>
      <c r="F132" s="37" t="n"/>
      <c r="G132" s="37" t="n"/>
      <c r="H132" s="37" t="n"/>
      <c r="I132" s="37" t="n"/>
      <c r="J132" s="38" t="n"/>
      <c r="K132" s="6">
        <f>IF(B132="","",IF(J132="",TODAY()-B132,J132-B132))</f>
        <v/>
      </c>
      <c r="L132" s="37" t="n"/>
      <c r="M132" s="37" t="n"/>
    </row>
    <row r="133">
      <c r="A133" s="37" t="n"/>
      <c r="B133" s="38" t="n"/>
      <c r="C133" s="37" t="n"/>
      <c r="D133" s="37" t="n"/>
      <c r="E133" s="37" t="n"/>
      <c r="F133" s="37" t="n"/>
      <c r="G133" s="37" t="n"/>
      <c r="H133" s="37" t="n"/>
      <c r="I133" s="37" t="n"/>
      <c r="J133" s="38" t="n"/>
      <c r="K133" s="6">
        <f>IF(B133="","",IF(J133="",TODAY()-B133,J133-B133))</f>
        <v/>
      </c>
      <c r="L133" s="37" t="n"/>
      <c r="M133" s="37" t="n"/>
    </row>
    <row r="134">
      <c r="A134" s="37" t="n"/>
      <c r="B134" s="38" t="n"/>
      <c r="C134" s="37" t="n"/>
      <c r="D134" s="37" t="n"/>
      <c r="E134" s="37" t="n"/>
      <c r="F134" s="37" t="n"/>
      <c r="G134" s="37" t="n"/>
      <c r="H134" s="37" t="n"/>
      <c r="I134" s="37" t="n"/>
      <c r="J134" s="38" t="n"/>
      <c r="K134" s="6">
        <f>IF(B134="","",IF(J134="",TODAY()-B134,J134-B134))</f>
        <v/>
      </c>
      <c r="L134" s="37" t="n"/>
      <c r="M134" s="37" t="n"/>
    </row>
    <row r="135">
      <c r="A135" s="37" t="n"/>
      <c r="B135" s="38" t="n"/>
      <c r="C135" s="37" t="n"/>
      <c r="D135" s="37" t="n"/>
      <c r="E135" s="37" t="n"/>
      <c r="F135" s="37" t="n"/>
      <c r="G135" s="37" t="n"/>
      <c r="H135" s="37" t="n"/>
      <c r="I135" s="37" t="n"/>
      <c r="J135" s="38" t="n"/>
      <c r="K135" s="6">
        <f>IF(B135="","",IF(J135="",TODAY()-B135,J135-B135))</f>
        <v/>
      </c>
      <c r="L135" s="37" t="n"/>
      <c r="M135" s="37" t="n"/>
    </row>
    <row r="136">
      <c r="A136" s="37" t="n"/>
      <c r="B136" s="38" t="n"/>
      <c r="C136" s="37" t="n"/>
      <c r="D136" s="37" t="n"/>
      <c r="E136" s="37" t="n"/>
      <c r="F136" s="37" t="n"/>
      <c r="G136" s="37" t="n"/>
      <c r="H136" s="37" t="n"/>
      <c r="I136" s="37" t="n"/>
      <c r="J136" s="38" t="n"/>
      <c r="K136" s="6">
        <f>IF(B136="","",IF(J136="",TODAY()-B136,J136-B136))</f>
        <v/>
      </c>
      <c r="L136" s="37" t="n"/>
      <c r="M136" s="37" t="n"/>
    </row>
    <row r="137">
      <c r="A137" s="37" t="n"/>
      <c r="B137" s="38" t="n"/>
      <c r="C137" s="37" t="n"/>
      <c r="D137" s="37" t="n"/>
      <c r="E137" s="37" t="n"/>
      <c r="F137" s="37" t="n"/>
      <c r="G137" s="37" t="n"/>
      <c r="H137" s="37" t="n"/>
      <c r="I137" s="37" t="n"/>
      <c r="J137" s="38" t="n"/>
      <c r="K137" s="6">
        <f>IF(B137="","",IF(J137="",TODAY()-B137,J137-B137))</f>
        <v/>
      </c>
      <c r="L137" s="37" t="n"/>
      <c r="M137" s="37" t="n"/>
    </row>
    <row r="138">
      <c r="A138" s="37" t="n"/>
      <c r="B138" s="38" t="n"/>
      <c r="C138" s="37" t="n"/>
      <c r="D138" s="37" t="n"/>
      <c r="E138" s="37" t="n"/>
      <c r="F138" s="37" t="n"/>
      <c r="G138" s="37" t="n"/>
      <c r="H138" s="37" t="n"/>
      <c r="I138" s="37" t="n"/>
      <c r="J138" s="38" t="n"/>
      <c r="K138" s="6">
        <f>IF(B138="","",IF(J138="",TODAY()-B138,J138-B138))</f>
        <v/>
      </c>
      <c r="L138" s="37" t="n"/>
      <c r="M138" s="37" t="n"/>
    </row>
    <row r="139">
      <c r="A139" s="37" t="n"/>
      <c r="B139" s="38" t="n"/>
      <c r="C139" s="37" t="n"/>
      <c r="D139" s="37" t="n"/>
      <c r="E139" s="37" t="n"/>
      <c r="F139" s="37" t="n"/>
      <c r="G139" s="37" t="n"/>
      <c r="H139" s="37" t="n"/>
      <c r="I139" s="37" t="n"/>
      <c r="J139" s="38" t="n"/>
      <c r="K139" s="6">
        <f>IF(B139="","",IF(J139="",TODAY()-B139,J139-B139))</f>
        <v/>
      </c>
      <c r="L139" s="37" t="n"/>
      <c r="M139" s="37" t="n"/>
    </row>
    <row r="140">
      <c r="A140" s="37" t="n"/>
      <c r="B140" s="38" t="n"/>
      <c r="C140" s="37" t="n"/>
      <c r="D140" s="37" t="n"/>
      <c r="E140" s="37" t="n"/>
      <c r="F140" s="37" t="n"/>
      <c r="G140" s="37" t="n"/>
      <c r="H140" s="37" t="n"/>
      <c r="I140" s="37" t="n"/>
      <c r="J140" s="38" t="n"/>
      <c r="K140" s="6">
        <f>IF(B140="","",IF(J140="",TODAY()-B140,J140-B140))</f>
        <v/>
      </c>
      <c r="L140" s="37" t="n"/>
      <c r="M140" s="37" t="n"/>
    </row>
    <row r="141">
      <c r="A141" s="37" t="n"/>
      <c r="B141" s="38" t="n"/>
      <c r="C141" s="37" t="n"/>
      <c r="D141" s="37" t="n"/>
      <c r="E141" s="37" t="n"/>
      <c r="F141" s="37" t="n"/>
      <c r="G141" s="37" t="n"/>
      <c r="H141" s="37" t="n"/>
      <c r="I141" s="37" t="n"/>
      <c r="J141" s="38" t="n"/>
      <c r="K141" s="6">
        <f>IF(B141="","",IF(J141="",TODAY()-B141,J141-B141))</f>
        <v/>
      </c>
      <c r="L141" s="37" t="n"/>
      <c r="M141" s="37" t="n"/>
    </row>
    <row r="142">
      <c r="A142" s="37" t="n"/>
      <c r="B142" s="38" t="n"/>
      <c r="C142" s="37" t="n"/>
      <c r="D142" s="37" t="n"/>
      <c r="E142" s="37" t="n"/>
      <c r="F142" s="37" t="n"/>
      <c r="G142" s="37" t="n"/>
      <c r="H142" s="37" t="n"/>
      <c r="I142" s="37" t="n"/>
      <c r="J142" s="38" t="n"/>
      <c r="K142" s="6">
        <f>IF(B142="","",IF(J142="",TODAY()-B142,J142-B142))</f>
        <v/>
      </c>
      <c r="L142" s="37" t="n"/>
      <c r="M142" s="37" t="n"/>
    </row>
    <row r="143">
      <c r="A143" s="37" t="n"/>
      <c r="B143" s="38" t="n"/>
      <c r="C143" s="37" t="n"/>
      <c r="D143" s="37" t="n"/>
      <c r="E143" s="37" t="n"/>
      <c r="F143" s="37" t="n"/>
      <c r="G143" s="37" t="n"/>
      <c r="H143" s="37" t="n"/>
      <c r="I143" s="37" t="n"/>
      <c r="J143" s="38" t="n"/>
      <c r="K143" s="6">
        <f>IF(B143="","",IF(J143="",TODAY()-B143,J143-B143))</f>
        <v/>
      </c>
      <c r="L143" s="37" t="n"/>
      <c r="M143" s="37" t="n"/>
    </row>
    <row r="144">
      <c r="A144" s="37" t="n"/>
      <c r="B144" s="38" t="n"/>
      <c r="C144" s="37" t="n"/>
      <c r="D144" s="37" t="n"/>
      <c r="E144" s="37" t="n"/>
      <c r="F144" s="37" t="n"/>
      <c r="G144" s="37" t="n"/>
      <c r="H144" s="37" t="n"/>
      <c r="I144" s="37" t="n"/>
      <c r="J144" s="38" t="n"/>
      <c r="K144" s="6">
        <f>IF(B144="","",IF(J144="",TODAY()-B144,J144-B144))</f>
        <v/>
      </c>
      <c r="L144" s="37" t="n"/>
      <c r="M144" s="37" t="n"/>
    </row>
    <row r="145">
      <c r="A145" s="37" t="n"/>
      <c r="B145" s="38" t="n"/>
      <c r="C145" s="37" t="n"/>
      <c r="D145" s="37" t="n"/>
      <c r="E145" s="37" t="n"/>
      <c r="F145" s="37" t="n"/>
      <c r="G145" s="37" t="n"/>
      <c r="H145" s="37" t="n"/>
      <c r="I145" s="37" t="n"/>
      <c r="J145" s="38" t="n"/>
      <c r="K145" s="6">
        <f>IF(B145="","",IF(J145="",TODAY()-B145,J145-B145))</f>
        <v/>
      </c>
      <c r="L145" s="37" t="n"/>
      <c r="M145" s="37" t="n"/>
    </row>
    <row r="146">
      <c r="A146" s="37" t="n"/>
      <c r="B146" s="38" t="n"/>
      <c r="C146" s="37" t="n"/>
      <c r="D146" s="37" t="n"/>
      <c r="E146" s="37" t="n"/>
      <c r="F146" s="37" t="n"/>
      <c r="G146" s="37" t="n"/>
      <c r="H146" s="37" t="n"/>
      <c r="I146" s="37" t="n"/>
      <c r="J146" s="38" t="n"/>
      <c r="K146" s="6">
        <f>IF(B146="","",IF(J146="",TODAY()-B146,J146-B146))</f>
        <v/>
      </c>
      <c r="L146" s="37" t="n"/>
      <c r="M146" s="37" t="n"/>
    </row>
    <row r="147">
      <c r="A147" s="37" t="n"/>
      <c r="B147" s="38" t="n"/>
      <c r="C147" s="37" t="n"/>
      <c r="D147" s="37" t="n"/>
      <c r="E147" s="37" t="n"/>
      <c r="F147" s="37" t="n"/>
      <c r="G147" s="37" t="n"/>
      <c r="H147" s="37" t="n"/>
      <c r="I147" s="37" t="n"/>
      <c r="J147" s="38" t="n"/>
      <c r="K147" s="6">
        <f>IF(B147="","",IF(J147="",TODAY()-B147,J147-B147))</f>
        <v/>
      </c>
      <c r="L147" s="37" t="n"/>
      <c r="M147" s="37" t="n"/>
    </row>
    <row r="148">
      <c r="A148" s="37" t="n"/>
      <c r="B148" s="38" t="n"/>
      <c r="C148" s="37" t="n"/>
      <c r="D148" s="37" t="n"/>
      <c r="E148" s="37" t="n"/>
      <c r="F148" s="37" t="n"/>
      <c r="G148" s="37" t="n"/>
      <c r="H148" s="37" t="n"/>
      <c r="I148" s="37" t="n"/>
      <c r="J148" s="38" t="n"/>
      <c r="K148" s="6">
        <f>IF(B148="","",IF(J148="",TODAY()-B148,J148-B148))</f>
        <v/>
      </c>
      <c r="L148" s="37" t="n"/>
      <c r="M148" s="37" t="n"/>
    </row>
    <row r="149">
      <c r="A149" s="37" t="n"/>
      <c r="B149" s="38" t="n"/>
      <c r="C149" s="37" t="n"/>
      <c r="D149" s="37" t="n"/>
      <c r="E149" s="37" t="n"/>
      <c r="F149" s="37" t="n"/>
      <c r="G149" s="37" t="n"/>
      <c r="H149" s="37" t="n"/>
      <c r="I149" s="37" t="n"/>
      <c r="J149" s="38" t="n"/>
      <c r="K149" s="6">
        <f>IF(B149="","",IF(J149="",TODAY()-B149,J149-B149))</f>
        <v/>
      </c>
      <c r="L149" s="37" t="n"/>
      <c r="M149" s="37" t="n"/>
    </row>
    <row r="150">
      <c r="A150" s="37" t="n"/>
      <c r="B150" s="38" t="n"/>
      <c r="C150" s="37" t="n"/>
      <c r="D150" s="37" t="n"/>
      <c r="E150" s="37" t="n"/>
      <c r="F150" s="37" t="n"/>
      <c r="G150" s="37" t="n"/>
      <c r="H150" s="37" t="n"/>
      <c r="I150" s="37" t="n"/>
      <c r="J150" s="38" t="n"/>
      <c r="K150" s="6">
        <f>IF(B150="","",IF(J150="",TODAY()-B150,J150-B150))</f>
        <v/>
      </c>
      <c r="L150" s="37" t="n"/>
      <c r="M150" s="37" t="n"/>
    </row>
    <row r="151">
      <c r="A151" s="37" t="n"/>
      <c r="B151" s="38" t="n"/>
      <c r="C151" s="37" t="n"/>
      <c r="D151" s="37" t="n"/>
      <c r="E151" s="37" t="n"/>
      <c r="F151" s="37" t="n"/>
      <c r="G151" s="37" t="n"/>
      <c r="H151" s="37" t="n"/>
      <c r="I151" s="37" t="n"/>
      <c r="J151" s="38" t="n"/>
      <c r="K151" s="6">
        <f>IF(B151="","",IF(J151="",TODAY()-B151,J151-B151))</f>
        <v/>
      </c>
      <c r="L151" s="37" t="n"/>
      <c r="M151" s="37" t="n"/>
    </row>
    <row r="152">
      <c r="A152" s="37" t="n"/>
      <c r="B152" s="38" t="n"/>
      <c r="C152" s="37" t="n"/>
      <c r="D152" s="37" t="n"/>
      <c r="E152" s="37" t="n"/>
      <c r="F152" s="37" t="n"/>
      <c r="G152" s="37" t="n"/>
      <c r="H152" s="37" t="n"/>
      <c r="I152" s="37" t="n"/>
      <c r="J152" s="38" t="n"/>
      <c r="K152" s="6">
        <f>IF(B152="","",IF(J152="",TODAY()-B152,J152-B152))</f>
        <v/>
      </c>
      <c r="L152" s="37" t="n"/>
      <c r="M152" s="37" t="n"/>
    </row>
    <row r="153">
      <c r="A153" s="37" t="n"/>
      <c r="B153" s="38" t="n"/>
      <c r="C153" s="37" t="n"/>
      <c r="D153" s="37" t="n"/>
      <c r="E153" s="37" t="n"/>
      <c r="F153" s="37" t="n"/>
      <c r="G153" s="37" t="n"/>
      <c r="H153" s="37" t="n"/>
      <c r="I153" s="37" t="n"/>
      <c r="J153" s="38" t="n"/>
      <c r="K153" s="6">
        <f>IF(B153="","",IF(J153="",TODAY()-B153,J153-B153))</f>
        <v/>
      </c>
      <c r="L153" s="37" t="n"/>
      <c r="M153" s="37" t="n"/>
    </row>
    <row r="154">
      <c r="A154" s="37" t="n"/>
      <c r="B154" s="38" t="n"/>
      <c r="C154" s="37" t="n"/>
      <c r="D154" s="37" t="n"/>
      <c r="E154" s="37" t="n"/>
      <c r="F154" s="37" t="n"/>
      <c r="G154" s="37" t="n"/>
      <c r="H154" s="37" t="n"/>
      <c r="I154" s="37" t="n"/>
      <c r="J154" s="38" t="n"/>
      <c r="K154" s="6">
        <f>IF(B154="","",IF(J154="",TODAY()-B154,J154-B154))</f>
        <v/>
      </c>
      <c r="L154" s="37" t="n"/>
      <c r="M154" s="37" t="n"/>
    </row>
    <row r="155">
      <c r="A155" s="37" t="n"/>
      <c r="B155" s="38" t="n"/>
      <c r="C155" s="37" t="n"/>
      <c r="D155" s="37" t="n"/>
      <c r="E155" s="37" t="n"/>
      <c r="F155" s="37" t="n"/>
      <c r="G155" s="37" t="n"/>
      <c r="H155" s="37" t="n"/>
      <c r="I155" s="37" t="n"/>
      <c r="J155" s="38" t="n"/>
      <c r="K155" s="6">
        <f>IF(B155="","",IF(J155="",TODAY()-B155,J155-B155))</f>
        <v/>
      </c>
      <c r="L155" s="37" t="n"/>
      <c r="M155" s="37" t="n"/>
    </row>
    <row r="156">
      <c r="A156" s="37" t="n"/>
      <c r="B156" s="38" t="n"/>
      <c r="C156" s="37" t="n"/>
      <c r="D156" s="37" t="n"/>
      <c r="E156" s="37" t="n"/>
      <c r="F156" s="37" t="n"/>
      <c r="G156" s="37" t="n"/>
      <c r="H156" s="37" t="n"/>
      <c r="I156" s="37" t="n"/>
      <c r="J156" s="38" t="n"/>
      <c r="K156" s="6">
        <f>IF(B156="","",IF(J156="",TODAY()-B156,J156-B156))</f>
        <v/>
      </c>
      <c r="L156" s="37" t="n"/>
      <c r="M156" s="37" t="n"/>
    </row>
    <row r="157">
      <c r="A157" s="37" t="n"/>
      <c r="B157" s="38" t="n"/>
      <c r="C157" s="37" t="n"/>
      <c r="D157" s="37" t="n"/>
      <c r="E157" s="37" t="n"/>
      <c r="F157" s="37" t="n"/>
      <c r="G157" s="37" t="n"/>
      <c r="H157" s="37" t="n"/>
      <c r="I157" s="37" t="n"/>
      <c r="J157" s="38" t="n"/>
      <c r="K157" s="6">
        <f>IF(B157="","",IF(J157="",TODAY()-B157,J157-B157))</f>
        <v/>
      </c>
      <c r="L157" s="37" t="n"/>
      <c r="M157" s="37" t="n"/>
    </row>
    <row r="158">
      <c r="A158" s="37" t="n"/>
      <c r="B158" s="38" t="n"/>
      <c r="C158" s="37" t="n"/>
      <c r="D158" s="37" t="n"/>
      <c r="E158" s="37" t="n"/>
      <c r="F158" s="37" t="n"/>
      <c r="G158" s="37" t="n"/>
      <c r="H158" s="37" t="n"/>
      <c r="I158" s="37" t="n"/>
      <c r="J158" s="38" t="n"/>
      <c r="K158" s="6">
        <f>IF(B158="","",IF(J158="",TODAY()-B158,J158-B158))</f>
        <v/>
      </c>
      <c r="L158" s="37" t="n"/>
      <c r="M158" s="37" t="n"/>
    </row>
    <row r="159">
      <c r="A159" s="37" t="n"/>
      <c r="B159" s="38" t="n"/>
      <c r="C159" s="37" t="n"/>
      <c r="D159" s="37" t="n"/>
      <c r="E159" s="37" t="n"/>
      <c r="F159" s="37" t="n"/>
      <c r="G159" s="37" t="n"/>
      <c r="H159" s="37" t="n"/>
      <c r="I159" s="37" t="n"/>
      <c r="J159" s="38" t="n"/>
      <c r="K159" s="6">
        <f>IF(B159="","",IF(J159="",TODAY()-B159,J159-B159))</f>
        <v/>
      </c>
      <c r="L159" s="37" t="n"/>
      <c r="M159" s="37" t="n"/>
    </row>
    <row r="160">
      <c r="A160" s="37" t="n"/>
      <c r="B160" s="38" t="n"/>
      <c r="C160" s="37" t="n"/>
      <c r="D160" s="37" t="n"/>
      <c r="E160" s="37" t="n"/>
      <c r="F160" s="37" t="n"/>
      <c r="G160" s="37" t="n"/>
      <c r="H160" s="37" t="n"/>
      <c r="I160" s="37" t="n"/>
      <c r="J160" s="38" t="n"/>
      <c r="K160" s="6">
        <f>IF(B160="","",IF(J160="",TODAY()-B160,J160-B160))</f>
        <v/>
      </c>
      <c r="L160" s="37" t="n"/>
      <c r="M160" s="37" t="n"/>
    </row>
    <row r="161">
      <c r="A161" s="37" t="n"/>
      <c r="B161" s="38" t="n"/>
      <c r="C161" s="37" t="n"/>
      <c r="D161" s="37" t="n"/>
      <c r="E161" s="37" t="n"/>
      <c r="F161" s="37" t="n"/>
      <c r="G161" s="37" t="n"/>
      <c r="H161" s="37" t="n"/>
      <c r="I161" s="37" t="n"/>
      <c r="J161" s="38" t="n"/>
      <c r="K161" s="6">
        <f>IF(B161="","",IF(J161="",TODAY()-B161,J161-B161))</f>
        <v/>
      </c>
      <c r="L161" s="37" t="n"/>
      <c r="M161" s="37" t="n"/>
    </row>
    <row r="162">
      <c r="A162" s="37" t="n"/>
      <c r="B162" s="38" t="n"/>
      <c r="C162" s="37" t="n"/>
      <c r="D162" s="37" t="n"/>
      <c r="E162" s="37" t="n"/>
      <c r="F162" s="37" t="n"/>
      <c r="G162" s="37" t="n"/>
      <c r="H162" s="37" t="n"/>
      <c r="I162" s="37" t="n"/>
      <c r="J162" s="38" t="n"/>
      <c r="K162" s="6">
        <f>IF(B162="","",IF(J162="",TODAY()-B162,J162-B162))</f>
        <v/>
      </c>
      <c r="L162" s="37" t="n"/>
      <c r="M162" s="37" t="n"/>
    </row>
    <row r="163">
      <c r="A163" s="37" t="n"/>
      <c r="B163" s="38" t="n"/>
      <c r="C163" s="37" t="n"/>
      <c r="D163" s="37" t="n"/>
      <c r="E163" s="37" t="n"/>
      <c r="F163" s="37" t="n"/>
      <c r="G163" s="37" t="n"/>
      <c r="H163" s="37" t="n"/>
      <c r="I163" s="37" t="n"/>
      <c r="J163" s="38" t="n"/>
      <c r="K163" s="6">
        <f>IF(B163="","",IF(J163="",TODAY()-B163,J163-B163))</f>
        <v/>
      </c>
      <c r="L163" s="37" t="n"/>
      <c r="M163" s="37" t="n"/>
    </row>
    <row r="164">
      <c r="A164" s="37" t="n"/>
      <c r="B164" s="38" t="n"/>
      <c r="C164" s="37" t="n"/>
      <c r="D164" s="37" t="n"/>
      <c r="E164" s="37" t="n"/>
      <c r="F164" s="37" t="n"/>
      <c r="G164" s="37" t="n"/>
      <c r="H164" s="37" t="n"/>
      <c r="I164" s="37" t="n"/>
      <c r="J164" s="38" t="n"/>
      <c r="K164" s="6">
        <f>IF(B164="","",IF(J164="",TODAY()-B164,J164-B164))</f>
        <v/>
      </c>
      <c r="L164" s="37" t="n"/>
      <c r="M164" s="37" t="n"/>
    </row>
    <row r="165">
      <c r="A165" s="37" t="n"/>
      <c r="B165" s="38" t="n"/>
      <c r="C165" s="37" t="n"/>
      <c r="D165" s="37" t="n"/>
      <c r="E165" s="37" t="n"/>
      <c r="F165" s="37" t="n"/>
      <c r="G165" s="37" t="n"/>
      <c r="H165" s="37" t="n"/>
      <c r="I165" s="37" t="n"/>
      <c r="J165" s="38" t="n"/>
      <c r="K165" s="6">
        <f>IF(B165="","",IF(J165="",TODAY()-B165,J165-B165))</f>
        <v/>
      </c>
      <c r="L165" s="37" t="n"/>
      <c r="M165" s="37" t="n"/>
    </row>
    <row r="166">
      <c r="A166" s="37" t="n"/>
      <c r="B166" s="38" t="n"/>
      <c r="C166" s="37" t="n"/>
      <c r="D166" s="37" t="n"/>
      <c r="E166" s="37" t="n"/>
      <c r="F166" s="37" t="n"/>
      <c r="G166" s="37" t="n"/>
      <c r="H166" s="37" t="n"/>
      <c r="I166" s="37" t="n"/>
      <c r="J166" s="38" t="n"/>
      <c r="K166" s="6">
        <f>IF(B166="","",IF(J166="",TODAY()-B166,J166-B166))</f>
        <v/>
      </c>
      <c r="L166" s="37" t="n"/>
      <c r="M166" s="37" t="n"/>
    </row>
    <row r="167">
      <c r="A167" s="37" t="n"/>
      <c r="B167" s="38" t="n"/>
      <c r="C167" s="37" t="n"/>
      <c r="D167" s="37" t="n"/>
      <c r="E167" s="37" t="n"/>
      <c r="F167" s="37" t="n"/>
      <c r="G167" s="37" t="n"/>
      <c r="H167" s="37" t="n"/>
      <c r="I167" s="37" t="n"/>
      <c r="J167" s="38" t="n"/>
      <c r="K167" s="6">
        <f>IF(B167="","",IF(J167="",TODAY()-B167,J167-B167))</f>
        <v/>
      </c>
      <c r="L167" s="37" t="n"/>
      <c r="M167" s="37" t="n"/>
    </row>
    <row r="168">
      <c r="A168" s="37" t="n"/>
      <c r="B168" s="38" t="n"/>
      <c r="C168" s="37" t="n"/>
      <c r="D168" s="37" t="n"/>
      <c r="E168" s="37" t="n"/>
      <c r="F168" s="37" t="n"/>
      <c r="G168" s="37" t="n"/>
      <c r="H168" s="37" t="n"/>
      <c r="I168" s="37" t="n"/>
      <c r="J168" s="38" t="n"/>
      <c r="K168" s="6">
        <f>IF(B168="","",IF(J168="",TODAY()-B168,J168-B168))</f>
        <v/>
      </c>
      <c r="L168" s="37" t="n"/>
      <c r="M168" s="37" t="n"/>
    </row>
    <row r="169">
      <c r="A169" s="37" t="n"/>
      <c r="B169" s="38" t="n"/>
      <c r="C169" s="37" t="n"/>
      <c r="D169" s="37" t="n"/>
      <c r="E169" s="37" t="n"/>
      <c r="F169" s="37" t="n"/>
      <c r="G169" s="37" t="n"/>
      <c r="H169" s="37" t="n"/>
      <c r="I169" s="37" t="n"/>
      <c r="J169" s="38" t="n"/>
      <c r="K169" s="6">
        <f>IF(B169="","",IF(J169="",TODAY()-B169,J169-B169))</f>
        <v/>
      </c>
      <c r="L169" s="37" t="n"/>
      <c r="M169" s="37" t="n"/>
    </row>
    <row r="170">
      <c r="A170" s="37" t="n"/>
      <c r="B170" s="38" t="n"/>
      <c r="C170" s="37" t="n"/>
      <c r="D170" s="37" t="n"/>
      <c r="E170" s="37" t="n"/>
      <c r="F170" s="37" t="n"/>
      <c r="G170" s="37" t="n"/>
      <c r="H170" s="37" t="n"/>
      <c r="I170" s="37" t="n"/>
      <c r="J170" s="38" t="n"/>
      <c r="K170" s="6">
        <f>IF(B170="","",IF(J170="",TODAY()-B170,J170-B170))</f>
        <v/>
      </c>
      <c r="L170" s="37" t="n"/>
      <c r="M170" s="37" t="n"/>
    </row>
    <row r="171">
      <c r="A171" s="37" t="n"/>
      <c r="B171" s="38" t="n"/>
      <c r="C171" s="37" t="n"/>
      <c r="D171" s="37" t="n"/>
      <c r="E171" s="37" t="n"/>
      <c r="F171" s="37" t="n"/>
      <c r="G171" s="37" t="n"/>
      <c r="H171" s="37" t="n"/>
      <c r="I171" s="37" t="n"/>
      <c r="J171" s="38" t="n"/>
      <c r="K171" s="6">
        <f>IF(B171="","",IF(J171="",TODAY()-B171,J171-B171))</f>
        <v/>
      </c>
      <c r="L171" s="37" t="n"/>
      <c r="M171" s="37" t="n"/>
    </row>
    <row r="172">
      <c r="A172" s="37" t="n"/>
      <c r="B172" s="38" t="n"/>
      <c r="C172" s="37" t="n"/>
      <c r="D172" s="37" t="n"/>
      <c r="E172" s="37" t="n"/>
      <c r="F172" s="37" t="n"/>
      <c r="G172" s="37" t="n"/>
      <c r="H172" s="37" t="n"/>
      <c r="I172" s="37" t="n"/>
      <c r="J172" s="38" t="n"/>
      <c r="K172" s="6">
        <f>IF(B172="","",IF(J172="",TODAY()-B172,J172-B172))</f>
        <v/>
      </c>
      <c r="L172" s="37" t="n"/>
      <c r="M172" s="37" t="n"/>
    </row>
    <row r="173">
      <c r="A173" s="37" t="n"/>
      <c r="B173" s="38" t="n"/>
      <c r="C173" s="37" t="n"/>
      <c r="D173" s="37" t="n"/>
      <c r="E173" s="37" t="n"/>
      <c r="F173" s="37" t="n"/>
      <c r="G173" s="37" t="n"/>
      <c r="H173" s="37" t="n"/>
      <c r="I173" s="37" t="n"/>
      <c r="J173" s="38" t="n"/>
      <c r="K173" s="6">
        <f>IF(B173="","",IF(J173="",TODAY()-B173,J173-B173))</f>
        <v/>
      </c>
      <c r="L173" s="37" t="n"/>
      <c r="M173" s="37" t="n"/>
    </row>
    <row r="174">
      <c r="A174" s="37" t="n"/>
      <c r="B174" s="38" t="n"/>
      <c r="C174" s="37" t="n"/>
      <c r="D174" s="37" t="n"/>
      <c r="E174" s="37" t="n"/>
      <c r="F174" s="37" t="n"/>
      <c r="G174" s="37" t="n"/>
      <c r="H174" s="37" t="n"/>
      <c r="I174" s="37" t="n"/>
      <c r="J174" s="38" t="n"/>
      <c r="K174" s="6">
        <f>IF(B174="","",IF(J174="",TODAY()-B174,J174-B174))</f>
        <v/>
      </c>
      <c r="L174" s="37" t="n"/>
      <c r="M174" s="37" t="n"/>
    </row>
    <row r="175">
      <c r="A175" s="37" t="n"/>
      <c r="B175" s="38" t="n"/>
      <c r="C175" s="37" t="n"/>
      <c r="D175" s="37" t="n"/>
      <c r="E175" s="37" t="n"/>
      <c r="F175" s="37" t="n"/>
      <c r="G175" s="37" t="n"/>
      <c r="H175" s="37" t="n"/>
      <c r="I175" s="37" t="n"/>
      <c r="J175" s="38" t="n"/>
      <c r="K175" s="6">
        <f>IF(B175="","",IF(J175="",TODAY()-B175,J175-B175))</f>
        <v/>
      </c>
      <c r="L175" s="37" t="n"/>
      <c r="M175" s="37" t="n"/>
    </row>
    <row r="176">
      <c r="A176" s="37" t="n"/>
      <c r="B176" s="38" t="n"/>
      <c r="C176" s="37" t="n"/>
      <c r="D176" s="37" t="n"/>
      <c r="E176" s="37" t="n"/>
      <c r="F176" s="37" t="n"/>
      <c r="G176" s="37" t="n"/>
      <c r="H176" s="37" t="n"/>
      <c r="I176" s="37" t="n"/>
      <c r="J176" s="38" t="n"/>
      <c r="K176" s="6">
        <f>IF(B176="","",IF(J176="",TODAY()-B176,J176-B176))</f>
        <v/>
      </c>
      <c r="L176" s="37" t="n"/>
      <c r="M176" s="37" t="n"/>
    </row>
    <row r="177">
      <c r="A177" s="37" t="n"/>
      <c r="B177" s="38" t="n"/>
      <c r="C177" s="37" t="n"/>
      <c r="D177" s="37" t="n"/>
      <c r="E177" s="37" t="n"/>
      <c r="F177" s="37" t="n"/>
      <c r="G177" s="37" t="n"/>
      <c r="H177" s="37" t="n"/>
      <c r="I177" s="37" t="n"/>
      <c r="J177" s="38" t="n"/>
      <c r="K177" s="6">
        <f>IF(B177="","",IF(J177="",TODAY()-B177,J177-B177))</f>
        <v/>
      </c>
      <c r="L177" s="37" t="n"/>
      <c r="M177" s="37" t="n"/>
    </row>
    <row r="178">
      <c r="A178" s="37" t="n"/>
      <c r="B178" s="38" t="n"/>
      <c r="C178" s="37" t="n"/>
      <c r="D178" s="37" t="n"/>
      <c r="E178" s="37" t="n"/>
      <c r="F178" s="37" t="n"/>
      <c r="G178" s="37" t="n"/>
      <c r="H178" s="37" t="n"/>
      <c r="I178" s="37" t="n"/>
      <c r="J178" s="38" t="n"/>
      <c r="K178" s="6">
        <f>IF(B178="","",IF(J178="",TODAY()-B178,J178-B178))</f>
        <v/>
      </c>
      <c r="L178" s="37" t="n"/>
      <c r="M178" s="37" t="n"/>
    </row>
    <row r="179">
      <c r="A179" s="37" t="n"/>
      <c r="B179" s="38" t="n"/>
      <c r="C179" s="37" t="n"/>
      <c r="D179" s="37" t="n"/>
      <c r="E179" s="37" t="n"/>
      <c r="F179" s="37" t="n"/>
      <c r="G179" s="37" t="n"/>
      <c r="H179" s="37" t="n"/>
      <c r="I179" s="37" t="n"/>
      <c r="J179" s="38" t="n"/>
      <c r="K179" s="6">
        <f>IF(B179="","",IF(J179="",TODAY()-B179,J179-B179))</f>
        <v/>
      </c>
      <c r="L179" s="37" t="n"/>
      <c r="M179" s="37" t="n"/>
    </row>
    <row r="180">
      <c r="A180" s="37" t="n"/>
      <c r="B180" s="38" t="n"/>
      <c r="C180" s="37" t="n"/>
      <c r="D180" s="37" t="n"/>
      <c r="E180" s="37" t="n"/>
      <c r="F180" s="37" t="n"/>
      <c r="G180" s="37" t="n"/>
      <c r="H180" s="37" t="n"/>
      <c r="I180" s="37" t="n"/>
      <c r="J180" s="38" t="n"/>
      <c r="K180" s="6">
        <f>IF(B180="","",IF(J180="",TODAY()-B180,J180-B180))</f>
        <v/>
      </c>
      <c r="L180" s="37" t="n"/>
      <c r="M180" s="37" t="n"/>
    </row>
    <row r="181">
      <c r="A181" s="37" t="n"/>
      <c r="B181" s="38" t="n"/>
      <c r="C181" s="37" t="n"/>
      <c r="D181" s="37" t="n"/>
      <c r="E181" s="37" t="n"/>
      <c r="F181" s="37" t="n"/>
      <c r="G181" s="37" t="n"/>
      <c r="H181" s="37" t="n"/>
      <c r="I181" s="37" t="n"/>
      <c r="J181" s="38" t="n"/>
      <c r="K181" s="6">
        <f>IF(B181="","",IF(J181="",TODAY()-B181,J181-B181))</f>
        <v/>
      </c>
      <c r="L181" s="37" t="n"/>
      <c r="M181" s="37" t="n"/>
    </row>
    <row r="182">
      <c r="A182" s="37" t="n"/>
      <c r="B182" s="38" t="n"/>
      <c r="C182" s="37" t="n"/>
      <c r="D182" s="37" t="n"/>
      <c r="E182" s="37" t="n"/>
      <c r="F182" s="37" t="n"/>
      <c r="G182" s="37" t="n"/>
      <c r="H182" s="37" t="n"/>
      <c r="I182" s="37" t="n"/>
      <c r="J182" s="38" t="n"/>
      <c r="K182" s="6">
        <f>IF(B182="","",IF(J182="",TODAY()-B182,J182-B182))</f>
        <v/>
      </c>
      <c r="L182" s="37" t="n"/>
      <c r="M182" s="37" t="n"/>
    </row>
    <row r="183">
      <c r="A183" s="37" t="n"/>
      <c r="B183" s="38" t="n"/>
      <c r="C183" s="37" t="n"/>
      <c r="D183" s="37" t="n"/>
      <c r="E183" s="37" t="n"/>
      <c r="F183" s="37" t="n"/>
      <c r="G183" s="37" t="n"/>
      <c r="H183" s="37" t="n"/>
      <c r="I183" s="37" t="n"/>
      <c r="J183" s="38" t="n"/>
      <c r="K183" s="6">
        <f>IF(B183="","",IF(J183="",TODAY()-B183,J183-B183))</f>
        <v/>
      </c>
      <c r="L183" s="37" t="n"/>
      <c r="M183" s="37" t="n"/>
    </row>
    <row r="184">
      <c r="A184" s="37" t="n"/>
      <c r="B184" s="38" t="n"/>
      <c r="C184" s="37" t="n"/>
      <c r="D184" s="37" t="n"/>
      <c r="E184" s="37" t="n"/>
      <c r="F184" s="37" t="n"/>
      <c r="G184" s="37" t="n"/>
      <c r="H184" s="37" t="n"/>
      <c r="I184" s="37" t="n"/>
      <c r="J184" s="38" t="n"/>
      <c r="K184" s="6">
        <f>IF(B184="","",IF(J184="",TODAY()-B184,J184-B184))</f>
        <v/>
      </c>
      <c r="L184" s="37" t="n"/>
      <c r="M184" s="37" t="n"/>
    </row>
    <row r="185">
      <c r="A185" s="37" t="n"/>
      <c r="B185" s="38" t="n"/>
      <c r="C185" s="37" t="n"/>
      <c r="D185" s="37" t="n"/>
      <c r="E185" s="37" t="n"/>
      <c r="F185" s="37" t="n"/>
      <c r="G185" s="37" t="n"/>
      <c r="H185" s="37" t="n"/>
      <c r="I185" s="37" t="n"/>
      <c r="J185" s="38" t="n"/>
      <c r="K185" s="6">
        <f>IF(B185="","",IF(J185="",TODAY()-B185,J185-B185))</f>
        <v/>
      </c>
      <c r="L185" s="37" t="n"/>
      <c r="M185" s="37" t="n"/>
    </row>
    <row r="186">
      <c r="A186" s="37" t="n"/>
      <c r="B186" s="38" t="n"/>
      <c r="C186" s="37" t="n"/>
      <c r="D186" s="37" t="n"/>
      <c r="E186" s="37" t="n"/>
      <c r="F186" s="37" t="n"/>
      <c r="G186" s="37" t="n"/>
      <c r="H186" s="37" t="n"/>
      <c r="I186" s="37" t="n"/>
      <c r="J186" s="38" t="n"/>
      <c r="K186" s="6">
        <f>IF(B186="","",IF(J186="",TODAY()-B186,J186-B186))</f>
        <v/>
      </c>
      <c r="L186" s="37" t="n"/>
      <c r="M186" s="37" t="n"/>
    </row>
    <row r="187">
      <c r="A187" s="37" t="n"/>
      <c r="B187" s="38" t="n"/>
      <c r="C187" s="37" t="n"/>
      <c r="D187" s="37" t="n"/>
      <c r="E187" s="37" t="n"/>
      <c r="F187" s="37" t="n"/>
      <c r="G187" s="37" t="n"/>
      <c r="H187" s="37" t="n"/>
      <c r="I187" s="37" t="n"/>
      <c r="J187" s="38" t="n"/>
      <c r="K187" s="6">
        <f>IF(B187="","",IF(J187="",TODAY()-B187,J187-B187))</f>
        <v/>
      </c>
      <c r="L187" s="37" t="n"/>
      <c r="M187" s="37" t="n"/>
    </row>
    <row r="188">
      <c r="A188" s="37" t="n"/>
      <c r="B188" s="38" t="n"/>
      <c r="C188" s="37" t="n"/>
      <c r="D188" s="37" t="n"/>
      <c r="E188" s="37" t="n"/>
      <c r="F188" s="37" t="n"/>
      <c r="G188" s="37" t="n"/>
      <c r="H188" s="37" t="n"/>
      <c r="I188" s="37" t="n"/>
      <c r="J188" s="38" t="n"/>
      <c r="K188" s="6">
        <f>IF(B188="","",IF(J188="",TODAY()-B188,J188-B188))</f>
        <v/>
      </c>
      <c r="L188" s="37" t="n"/>
      <c r="M188" s="37" t="n"/>
    </row>
    <row r="189">
      <c r="A189" s="37" t="n"/>
      <c r="B189" s="38" t="n"/>
      <c r="C189" s="37" t="n"/>
      <c r="D189" s="37" t="n"/>
      <c r="E189" s="37" t="n"/>
      <c r="F189" s="37" t="n"/>
      <c r="G189" s="37" t="n"/>
      <c r="H189" s="37" t="n"/>
      <c r="I189" s="37" t="n"/>
      <c r="J189" s="38" t="n"/>
      <c r="K189" s="6">
        <f>IF(B189="","",IF(J189="",TODAY()-B189,J189-B189))</f>
        <v/>
      </c>
      <c r="L189" s="37" t="n"/>
      <c r="M189" s="37" t="n"/>
    </row>
    <row r="190">
      <c r="A190" s="37" t="n"/>
      <c r="B190" s="38" t="n"/>
      <c r="C190" s="37" t="n"/>
      <c r="D190" s="37" t="n"/>
      <c r="E190" s="37" t="n"/>
      <c r="F190" s="37" t="n"/>
      <c r="G190" s="37" t="n"/>
      <c r="H190" s="37" t="n"/>
      <c r="I190" s="37" t="n"/>
      <c r="J190" s="38" t="n"/>
      <c r="K190" s="6">
        <f>IF(B190="","",IF(J190="",TODAY()-B190,J190-B190))</f>
        <v/>
      </c>
      <c r="L190" s="37" t="n"/>
      <c r="M190" s="37" t="n"/>
    </row>
    <row r="191">
      <c r="A191" s="37" t="n"/>
      <c r="B191" s="38" t="n"/>
      <c r="C191" s="37" t="n"/>
      <c r="D191" s="37" t="n"/>
      <c r="E191" s="37" t="n"/>
      <c r="F191" s="37" t="n"/>
      <c r="G191" s="37" t="n"/>
      <c r="H191" s="37" t="n"/>
      <c r="I191" s="37" t="n"/>
      <c r="J191" s="38" t="n"/>
      <c r="K191" s="6">
        <f>IF(B191="","",IF(J191="",TODAY()-B191,J191-B191))</f>
        <v/>
      </c>
      <c r="L191" s="37" t="n"/>
      <c r="M191" s="37" t="n"/>
    </row>
    <row r="192">
      <c r="A192" s="37" t="n"/>
      <c r="B192" s="38" t="n"/>
      <c r="C192" s="37" t="n"/>
      <c r="D192" s="37" t="n"/>
      <c r="E192" s="37" t="n"/>
      <c r="F192" s="37" t="n"/>
      <c r="G192" s="37" t="n"/>
      <c r="H192" s="37" t="n"/>
      <c r="I192" s="37" t="n"/>
      <c r="J192" s="38" t="n"/>
      <c r="K192" s="6">
        <f>IF(B192="","",IF(J192="",TODAY()-B192,J192-B192))</f>
        <v/>
      </c>
      <c r="L192" s="37" t="n"/>
      <c r="M192" s="37" t="n"/>
    </row>
    <row r="193">
      <c r="A193" s="37" t="n"/>
      <c r="B193" s="38" t="n"/>
      <c r="C193" s="37" t="n"/>
      <c r="D193" s="37" t="n"/>
      <c r="E193" s="37" t="n"/>
      <c r="F193" s="37" t="n"/>
      <c r="G193" s="37" t="n"/>
      <c r="H193" s="37" t="n"/>
      <c r="I193" s="37" t="n"/>
      <c r="J193" s="38" t="n"/>
      <c r="K193" s="6">
        <f>IF(B193="","",IF(J193="",TODAY()-B193,J193-B193))</f>
        <v/>
      </c>
      <c r="L193" s="37" t="n"/>
      <c r="M193" s="37" t="n"/>
    </row>
    <row r="194">
      <c r="A194" s="37" t="n"/>
      <c r="B194" s="38" t="n"/>
      <c r="C194" s="37" t="n"/>
      <c r="D194" s="37" t="n"/>
      <c r="E194" s="37" t="n"/>
      <c r="F194" s="37" t="n"/>
      <c r="G194" s="37" t="n"/>
      <c r="H194" s="37" t="n"/>
      <c r="I194" s="37" t="n"/>
      <c r="J194" s="38" t="n"/>
      <c r="K194" s="6">
        <f>IF(B194="","",IF(J194="",TODAY()-B194,J194-B194))</f>
        <v/>
      </c>
      <c r="L194" s="37" t="n"/>
      <c r="M194" s="37" t="n"/>
    </row>
    <row r="195">
      <c r="A195" s="37" t="n"/>
      <c r="B195" s="38" t="n"/>
      <c r="C195" s="37" t="n"/>
      <c r="D195" s="37" t="n"/>
      <c r="E195" s="37" t="n"/>
      <c r="F195" s="37" t="n"/>
      <c r="G195" s="37" t="n"/>
      <c r="H195" s="37" t="n"/>
      <c r="I195" s="37" t="n"/>
      <c r="J195" s="38" t="n"/>
      <c r="K195" s="6">
        <f>IF(B195="","",IF(J195="",TODAY()-B195,J195-B195))</f>
        <v/>
      </c>
      <c r="L195" s="37" t="n"/>
      <c r="M195" s="37" t="n"/>
    </row>
    <row r="196">
      <c r="A196" s="37" t="n"/>
      <c r="B196" s="38" t="n"/>
      <c r="C196" s="37" t="n"/>
      <c r="D196" s="37" t="n"/>
      <c r="E196" s="37" t="n"/>
      <c r="F196" s="37" t="n"/>
      <c r="G196" s="37" t="n"/>
      <c r="H196" s="37" t="n"/>
      <c r="I196" s="37" t="n"/>
      <c r="J196" s="38" t="n"/>
      <c r="K196" s="6">
        <f>IF(B196="","",IF(J196="",TODAY()-B196,J196-B196))</f>
        <v/>
      </c>
      <c r="L196" s="37" t="n"/>
      <c r="M196" s="37" t="n"/>
    </row>
    <row r="197">
      <c r="A197" s="37" t="n"/>
      <c r="B197" s="38" t="n"/>
      <c r="C197" s="37" t="n"/>
      <c r="D197" s="37" t="n"/>
      <c r="E197" s="37" t="n"/>
      <c r="F197" s="37" t="n"/>
      <c r="G197" s="37" t="n"/>
      <c r="H197" s="37" t="n"/>
      <c r="I197" s="37" t="n"/>
      <c r="J197" s="38" t="n"/>
      <c r="K197" s="6">
        <f>IF(B197="","",IF(J197="",TODAY()-B197,J197-B197))</f>
        <v/>
      </c>
      <c r="L197" s="37" t="n"/>
      <c r="M197" s="37" t="n"/>
    </row>
    <row r="198">
      <c r="A198" s="37" t="n"/>
      <c r="B198" s="38" t="n"/>
      <c r="C198" s="37" t="n"/>
      <c r="D198" s="37" t="n"/>
      <c r="E198" s="37" t="n"/>
      <c r="F198" s="37" t="n"/>
      <c r="G198" s="37" t="n"/>
      <c r="H198" s="37" t="n"/>
      <c r="I198" s="37" t="n"/>
      <c r="J198" s="38" t="n"/>
      <c r="K198" s="6">
        <f>IF(B198="","",IF(J198="",TODAY()-B198,J198-B198))</f>
        <v/>
      </c>
      <c r="L198" s="37" t="n"/>
      <c r="M198" s="37" t="n"/>
    </row>
    <row r="199">
      <c r="A199" s="37" t="n"/>
      <c r="B199" s="38" t="n"/>
      <c r="C199" s="37" t="n"/>
      <c r="D199" s="37" t="n"/>
      <c r="E199" s="37" t="n"/>
      <c r="F199" s="37" t="n"/>
      <c r="G199" s="37" t="n"/>
      <c r="H199" s="37" t="n"/>
      <c r="I199" s="37" t="n"/>
      <c r="J199" s="38" t="n"/>
      <c r="K199" s="6">
        <f>IF(B199="","",IF(J199="",TODAY()-B199,J199-B199))</f>
        <v/>
      </c>
      <c r="L199" s="37" t="n"/>
      <c r="M199" s="37" t="n"/>
    </row>
    <row r="200">
      <c r="A200" s="37" t="n"/>
      <c r="B200" s="38" t="n"/>
      <c r="C200" s="37" t="n"/>
      <c r="D200" s="37" t="n"/>
      <c r="E200" s="37" t="n"/>
      <c r="F200" s="37" t="n"/>
      <c r="G200" s="37" t="n"/>
      <c r="H200" s="37" t="n"/>
      <c r="I200" s="37" t="n"/>
      <c r="J200" s="38" t="n"/>
      <c r="K200" s="6">
        <f>IF(B200="","",IF(J200="",TODAY()-B200,J200-B200))</f>
        <v/>
      </c>
      <c r="L200" s="37" t="n"/>
      <c r="M200" s="37" t="n"/>
    </row>
    <row r="201">
      <c r="A201" s="37" t="n"/>
      <c r="B201" s="38" t="n"/>
      <c r="C201" s="37" t="n"/>
      <c r="D201" s="37" t="n"/>
      <c r="E201" s="37" t="n"/>
      <c r="F201" s="37" t="n"/>
      <c r="G201" s="37" t="n"/>
      <c r="H201" s="37" t="n"/>
      <c r="I201" s="37" t="n"/>
      <c r="J201" s="38" t="n"/>
      <c r="K201" s="6">
        <f>IF(B201="","",IF(J201="",TODAY()-B201,J201-B201))</f>
        <v/>
      </c>
      <c r="L201" s="37" t="n"/>
      <c r="M201" s="37" t="n"/>
    </row>
    <row r="202">
      <c r="A202" s="37" t="n"/>
      <c r="B202" s="38" t="n"/>
      <c r="C202" s="37" t="n"/>
      <c r="D202" s="37" t="n"/>
      <c r="E202" s="37" t="n"/>
      <c r="F202" s="37" t="n"/>
      <c r="G202" s="37" t="n"/>
      <c r="H202" s="37" t="n"/>
      <c r="I202" s="37" t="n"/>
      <c r="J202" s="38" t="n"/>
      <c r="K202" s="6">
        <f>IF(B202="","",IF(J202="",TODAY()-B202,J202-B202))</f>
        <v/>
      </c>
      <c r="L202" s="37" t="n"/>
      <c r="M202" s="37" t="n"/>
    </row>
    <row r="203">
      <c r="A203" s="37" t="n"/>
      <c r="B203" s="38" t="n"/>
      <c r="C203" s="37" t="n"/>
      <c r="D203" s="37" t="n"/>
      <c r="E203" s="37" t="n"/>
      <c r="F203" s="37" t="n"/>
      <c r="G203" s="37" t="n"/>
      <c r="H203" s="37" t="n"/>
      <c r="I203" s="37" t="n"/>
      <c r="J203" s="38" t="n"/>
      <c r="K203" s="6">
        <f>IF(B203="","",IF(J203="",TODAY()-B203,J203-B203))</f>
        <v/>
      </c>
      <c r="L203" s="37" t="n"/>
      <c r="M203" s="37" t="n"/>
    </row>
    <row r="204">
      <c r="A204" s="37" t="n"/>
      <c r="B204" s="38" t="n"/>
      <c r="C204" s="37" t="n"/>
      <c r="D204" s="37" t="n"/>
      <c r="E204" s="37" t="n"/>
      <c r="F204" s="37" t="n"/>
      <c r="G204" s="37" t="n"/>
      <c r="H204" s="37" t="n"/>
      <c r="I204" s="37" t="n"/>
      <c r="J204" s="38" t="n"/>
      <c r="K204" s="6">
        <f>IF(B204="","",IF(J204="",TODAY()-B204,J204-B204))</f>
        <v/>
      </c>
      <c r="L204" s="37" t="n"/>
      <c r="M204" s="37" t="n"/>
    </row>
    <row r="205">
      <c r="A205" s="37" t="n"/>
      <c r="B205" s="38" t="n"/>
      <c r="C205" s="37" t="n"/>
      <c r="D205" s="37" t="n"/>
      <c r="E205" s="37" t="n"/>
      <c r="F205" s="37" t="n"/>
      <c r="G205" s="37" t="n"/>
      <c r="H205" s="37" t="n"/>
      <c r="I205" s="37" t="n"/>
      <c r="J205" s="38" t="n"/>
      <c r="K205" s="6">
        <f>IF(B205="","",IF(J205="",TODAY()-B205,J205-B205))</f>
        <v/>
      </c>
      <c r="L205" s="37" t="n"/>
      <c r="M205" s="37" t="n"/>
    </row>
    <row r="206">
      <c r="A206" s="37" t="n"/>
      <c r="B206" s="38" t="n"/>
      <c r="C206" s="37" t="n"/>
      <c r="D206" s="37" t="n"/>
      <c r="E206" s="37" t="n"/>
      <c r="F206" s="37" t="n"/>
      <c r="G206" s="37" t="n"/>
      <c r="H206" s="37" t="n"/>
      <c r="I206" s="37" t="n"/>
      <c r="J206" s="38" t="n"/>
      <c r="K206" s="6">
        <f>IF(B206="","",IF(J206="",TODAY()-B206,J206-B206))</f>
        <v/>
      </c>
      <c r="L206" s="37" t="n"/>
      <c r="M206" s="37" t="n"/>
    </row>
    <row r="207">
      <c r="A207" s="37" t="n"/>
      <c r="B207" s="38" t="n"/>
      <c r="C207" s="37" t="n"/>
      <c r="D207" s="37" t="n"/>
      <c r="E207" s="37" t="n"/>
      <c r="F207" s="37" t="n"/>
      <c r="G207" s="37" t="n"/>
      <c r="H207" s="37" t="n"/>
      <c r="I207" s="37" t="n"/>
      <c r="J207" s="38" t="n"/>
      <c r="K207" s="6">
        <f>IF(B207="","",IF(J207="",TODAY()-B207,J207-B207))</f>
        <v/>
      </c>
      <c r="L207" s="37" t="n"/>
      <c r="M207" s="37" t="n"/>
    </row>
    <row r="208">
      <c r="A208" s="37" t="n"/>
      <c r="B208" s="38" t="n"/>
      <c r="C208" s="37" t="n"/>
      <c r="D208" s="37" t="n"/>
      <c r="E208" s="37" t="n"/>
      <c r="F208" s="37" t="n"/>
      <c r="G208" s="37" t="n"/>
      <c r="H208" s="37" t="n"/>
      <c r="I208" s="37" t="n"/>
      <c r="J208" s="38" t="n"/>
      <c r="K208" s="6">
        <f>IF(B208="","",IF(J208="",TODAY()-B208,J208-B208))</f>
        <v/>
      </c>
      <c r="L208" s="37" t="n"/>
      <c r="M208" s="37" t="n"/>
    </row>
    <row r="209">
      <c r="A209" s="37" t="n"/>
      <c r="B209" s="38" t="n"/>
      <c r="C209" s="37" t="n"/>
      <c r="D209" s="37" t="n"/>
      <c r="E209" s="37" t="n"/>
      <c r="F209" s="37" t="n"/>
      <c r="G209" s="37" t="n"/>
      <c r="H209" s="37" t="n"/>
      <c r="I209" s="37" t="n"/>
      <c r="J209" s="38" t="n"/>
      <c r="K209" s="6">
        <f>IF(B209="","",IF(J209="",TODAY()-B209,J209-B209))</f>
        <v/>
      </c>
      <c r="L209" s="37" t="n"/>
      <c r="M209" s="37" t="n"/>
    </row>
    <row r="210">
      <c r="A210" s="37" t="n"/>
      <c r="B210" s="38" t="n"/>
      <c r="C210" s="37" t="n"/>
      <c r="D210" s="37" t="n"/>
      <c r="E210" s="37" t="n"/>
      <c r="F210" s="37" t="n"/>
      <c r="G210" s="37" t="n"/>
      <c r="H210" s="37" t="n"/>
      <c r="I210" s="37" t="n"/>
      <c r="J210" s="38" t="n"/>
      <c r="K210" s="6">
        <f>IF(B210="","",IF(J210="",TODAY()-B210,J210-B210))</f>
        <v/>
      </c>
      <c r="L210" s="37" t="n"/>
      <c r="M210" s="37" t="n"/>
    </row>
    <row r="211">
      <c r="A211" s="37" t="n"/>
      <c r="B211" s="38" t="n"/>
      <c r="C211" s="37" t="n"/>
      <c r="D211" s="37" t="n"/>
      <c r="E211" s="37" t="n"/>
      <c r="F211" s="37" t="n"/>
      <c r="G211" s="37" t="n"/>
      <c r="H211" s="37" t="n"/>
      <c r="I211" s="37" t="n"/>
      <c r="J211" s="38" t="n"/>
      <c r="K211" s="6">
        <f>IF(B211="","",IF(J211="",TODAY()-B211,J211-B211))</f>
        <v/>
      </c>
      <c r="L211" s="37" t="n"/>
      <c r="M211" s="37" t="n"/>
    </row>
    <row r="212">
      <c r="A212" s="37" t="n"/>
      <c r="B212" s="38" t="n"/>
      <c r="C212" s="37" t="n"/>
      <c r="D212" s="37" t="n"/>
      <c r="E212" s="37" t="n"/>
      <c r="F212" s="37" t="n"/>
      <c r="G212" s="37" t="n"/>
      <c r="H212" s="37" t="n"/>
      <c r="I212" s="37" t="n"/>
      <c r="J212" s="38" t="n"/>
      <c r="K212" s="6">
        <f>IF(B212="","",IF(J212="",TODAY()-B212,J212-B212))</f>
        <v/>
      </c>
      <c r="L212" s="37" t="n"/>
      <c r="M212" s="37" t="n"/>
    </row>
    <row r="213">
      <c r="A213" s="37" t="n"/>
      <c r="B213" s="38" t="n"/>
      <c r="C213" s="37" t="n"/>
      <c r="D213" s="37" t="n"/>
      <c r="E213" s="37" t="n"/>
      <c r="F213" s="37" t="n"/>
      <c r="G213" s="37" t="n"/>
      <c r="H213" s="37" t="n"/>
      <c r="I213" s="37" t="n"/>
      <c r="J213" s="38" t="n"/>
      <c r="K213" s="6">
        <f>IF(B213="","",IF(J213="",TODAY()-B213,J213-B213))</f>
        <v/>
      </c>
      <c r="L213" s="37" t="n"/>
      <c r="M213" s="37" t="n"/>
    </row>
    <row r="214">
      <c r="A214" s="37" t="n"/>
      <c r="B214" s="38" t="n"/>
      <c r="C214" s="37" t="n"/>
      <c r="D214" s="37" t="n"/>
      <c r="E214" s="37" t="n"/>
      <c r="F214" s="37" t="n"/>
      <c r="G214" s="37" t="n"/>
      <c r="H214" s="37" t="n"/>
      <c r="I214" s="37" t="n"/>
      <c r="J214" s="38" t="n"/>
      <c r="K214" s="6">
        <f>IF(B214="","",IF(J214="",TODAY()-B214,J214-B214))</f>
        <v/>
      </c>
      <c r="L214" s="37" t="n"/>
      <c r="M214" s="37" t="n"/>
    </row>
    <row r="215">
      <c r="A215" s="37" t="n"/>
      <c r="B215" s="38" t="n"/>
      <c r="C215" s="37" t="n"/>
      <c r="D215" s="37" t="n"/>
      <c r="E215" s="37" t="n"/>
      <c r="F215" s="37" t="n"/>
      <c r="G215" s="37" t="n"/>
      <c r="H215" s="37" t="n"/>
      <c r="I215" s="37" t="n"/>
      <c r="J215" s="38" t="n"/>
      <c r="K215" s="6">
        <f>IF(B215="","",IF(J215="",TODAY()-B215,J215-B215))</f>
        <v/>
      </c>
      <c r="L215" s="37" t="n"/>
      <c r="M215" s="37" t="n"/>
    </row>
    <row r="216">
      <c r="A216" s="37" t="n"/>
      <c r="B216" s="38" t="n"/>
      <c r="C216" s="37" t="n"/>
      <c r="D216" s="37" t="n"/>
      <c r="E216" s="37" t="n"/>
      <c r="F216" s="37" t="n"/>
      <c r="G216" s="37" t="n"/>
      <c r="H216" s="37" t="n"/>
      <c r="I216" s="37" t="n"/>
      <c r="J216" s="38" t="n"/>
      <c r="K216" s="6">
        <f>IF(B216="","",IF(J216="",TODAY()-B216,J216-B216))</f>
        <v/>
      </c>
      <c r="L216" s="37" t="n"/>
      <c r="M216" s="37" t="n"/>
    </row>
    <row r="217">
      <c r="A217" s="37" t="n"/>
      <c r="B217" s="38" t="n"/>
      <c r="C217" s="37" t="n"/>
      <c r="D217" s="37" t="n"/>
      <c r="E217" s="37" t="n"/>
      <c r="F217" s="37" t="n"/>
      <c r="G217" s="37" t="n"/>
      <c r="H217" s="37" t="n"/>
      <c r="I217" s="37" t="n"/>
      <c r="J217" s="38" t="n"/>
      <c r="K217" s="6">
        <f>IF(B217="","",IF(J217="",TODAY()-B217,J217-B217))</f>
        <v/>
      </c>
      <c r="L217" s="37" t="n"/>
      <c r="M217" s="37" t="n"/>
    </row>
    <row r="218">
      <c r="A218" s="37" t="n"/>
      <c r="B218" s="38" t="n"/>
      <c r="C218" s="37" t="n"/>
      <c r="D218" s="37" t="n"/>
      <c r="E218" s="37" t="n"/>
      <c r="F218" s="37" t="n"/>
      <c r="G218" s="37" t="n"/>
      <c r="H218" s="37" t="n"/>
      <c r="I218" s="37" t="n"/>
      <c r="J218" s="38" t="n"/>
      <c r="K218" s="6">
        <f>IF(B218="","",IF(J218="",TODAY()-B218,J218-B218))</f>
        <v/>
      </c>
      <c r="L218" s="37" t="n"/>
      <c r="M218" s="37" t="n"/>
    </row>
    <row r="219">
      <c r="A219" s="37" t="n"/>
      <c r="B219" s="38" t="n"/>
      <c r="C219" s="37" t="n"/>
      <c r="D219" s="37" t="n"/>
      <c r="E219" s="37" t="n"/>
      <c r="F219" s="37" t="n"/>
      <c r="G219" s="37" t="n"/>
      <c r="H219" s="37" t="n"/>
      <c r="I219" s="37" t="n"/>
      <c r="J219" s="38" t="n"/>
      <c r="K219" s="6">
        <f>IF(B219="","",IF(J219="",TODAY()-B219,J219-B219))</f>
        <v/>
      </c>
      <c r="L219" s="37" t="n"/>
      <c r="M219" s="37" t="n"/>
    </row>
    <row r="220">
      <c r="A220" s="37" t="n"/>
      <c r="B220" s="38" t="n"/>
      <c r="C220" s="37" t="n"/>
      <c r="D220" s="37" t="n"/>
      <c r="E220" s="37" t="n"/>
      <c r="F220" s="37" t="n"/>
      <c r="G220" s="37" t="n"/>
      <c r="H220" s="37" t="n"/>
      <c r="I220" s="37" t="n"/>
      <c r="J220" s="38" t="n"/>
      <c r="K220" s="6">
        <f>IF(B220="","",IF(J220="",TODAY()-B220,J220-B220))</f>
        <v/>
      </c>
      <c r="L220" s="37" t="n"/>
      <c r="M220" s="37" t="n"/>
    </row>
    <row r="221">
      <c r="A221" s="37" t="n"/>
      <c r="B221" s="38" t="n"/>
      <c r="C221" s="37" t="n"/>
      <c r="D221" s="37" t="n"/>
      <c r="E221" s="37" t="n"/>
      <c r="F221" s="37" t="n"/>
      <c r="G221" s="37" t="n"/>
      <c r="H221" s="37" t="n"/>
      <c r="I221" s="37" t="n"/>
      <c r="J221" s="38" t="n"/>
      <c r="K221" s="6">
        <f>IF(B221="","",IF(J221="",TODAY()-B221,J221-B221))</f>
        <v/>
      </c>
      <c r="L221" s="37" t="n"/>
      <c r="M221" s="37" t="n"/>
    </row>
    <row r="222">
      <c r="A222" s="37" t="n"/>
      <c r="B222" s="38" t="n"/>
      <c r="C222" s="37" t="n"/>
      <c r="D222" s="37" t="n"/>
      <c r="E222" s="37" t="n"/>
      <c r="F222" s="37" t="n"/>
      <c r="G222" s="37" t="n"/>
      <c r="H222" s="37" t="n"/>
      <c r="I222" s="37" t="n"/>
      <c r="J222" s="38" t="n"/>
      <c r="K222" s="6">
        <f>IF(B222="","",IF(J222="",TODAY()-B222,J222-B222))</f>
        <v/>
      </c>
      <c r="L222" s="37" t="n"/>
      <c r="M222" s="37" t="n"/>
    </row>
    <row r="223">
      <c r="A223" s="37" t="n"/>
      <c r="B223" s="38" t="n"/>
      <c r="C223" s="37" t="n"/>
      <c r="D223" s="37" t="n"/>
      <c r="E223" s="37" t="n"/>
      <c r="F223" s="37" t="n"/>
      <c r="G223" s="37" t="n"/>
      <c r="H223" s="37" t="n"/>
      <c r="I223" s="37" t="n"/>
      <c r="J223" s="38" t="n"/>
      <c r="K223" s="6">
        <f>IF(B223="","",IF(J223="",TODAY()-B223,J223-B223))</f>
        <v/>
      </c>
      <c r="L223" s="37" t="n"/>
      <c r="M223" s="37" t="n"/>
    </row>
    <row r="224">
      <c r="A224" s="37" t="n"/>
      <c r="B224" s="38" t="n"/>
      <c r="C224" s="37" t="n"/>
      <c r="D224" s="37" t="n"/>
      <c r="E224" s="37" t="n"/>
      <c r="F224" s="37" t="n"/>
      <c r="G224" s="37" t="n"/>
      <c r="H224" s="37" t="n"/>
      <c r="I224" s="37" t="n"/>
      <c r="J224" s="38" t="n"/>
      <c r="K224" s="6">
        <f>IF(B224="","",IF(J224="",TODAY()-B224,J224-B224))</f>
        <v/>
      </c>
      <c r="L224" s="37" t="n"/>
      <c r="M224" s="37" t="n"/>
    </row>
    <row r="225">
      <c r="A225" s="37" t="n"/>
      <c r="B225" s="38" t="n"/>
      <c r="C225" s="37" t="n"/>
      <c r="D225" s="37" t="n"/>
      <c r="E225" s="37" t="n"/>
      <c r="F225" s="37" t="n"/>
      <c r="G225" s="37" t="n"/>
      <c r="H225" s="37" t="n"/>
      <c r="I225" s="37" t="n"/>
      <c r="J225" s="38" t="n"/>
      <c r="K225" s="6">
        <f>IF(B225="","",IF(J225="",TODAY()-B225,J225-B225))</f>
        <v/>
      </c>
      <c r="L225" s="37" t="n"/>
      <c r="M225" s="37" t="n"/>
    </row>
    <row r="226">
      <c r="A226" s="37" t="n"/>
      <c r="B226" s="38" t="n"/>
      <c r="C226" s="37" t="n"/>
      <c r="D226" s="37" t="n"/>
      <c r="E226" s="37" t="n"/>
      <c r="F226" s="37" t="n"/>
      <c r="G226" s="37" t="n"/>
      <c r="H226" s="37" t="n"/>
      <c r="I226" s="37" t="n"/>
      <c r="J226" s="38" t="n"/>
      <c r="K226" s="6">
        <f>IF(B226="","",IF(J226="",TODAY()-B226,J226-B226))</f>
        <v/>
      </c>
      <c r="L226" s="37" t="n"/>
      <c r="M226" s="37" t="n"/>
    </row>
    <row r="227">
      <c r="A227" s="37" t="n"/>
      <c r="B227" s="38" t="n"/>
      <c r="C227" s="37" t="n"/>
      <c r="D227" s="37" t="n"/>
      <c r="E227" s="37" t="n"/>
      <c r="F227" s="37" t="n"/>
      <c r="G227" s="37" t="n"/>
      <c r="H227" s="37" t="n"/>
      <c r="I227" s="37" t="n"/>
      <c r="J227" s="38" t="n"/>
      <c r="K227" s="6">
        <f>IF(B227="","",IF(J227="",TODAY()-B227,J227-B227))</f>
        <v/>
      </c>
      <c r="L227" s="37" t="n"/>
      <c r="M227" s="37" t="n"/>
    </row>
    <row r="228">
      <c r="A228" s="37" t="n"/>
      <c r="B228" s="38" t="n"/>
      <c r="C228" s="37" t="n"/>
      <c r="D228" s="37" t="n"/>
      <c r="E228" s="37" t="n"/>
      <c r="F228" s="37" t="n"/>
      <c r="G228" s="37" t="n"/>
      <c r="H228" s="37" t="n"/>
      <c r="I228" s="37" t="n"/>
      <c r="J228" s="38" t="n"/>
      <c r="K228" s="6">
        <f>IF(B228="","",IF(J228="",TODAY()-B228,J228-B228))</f>
        <v/>
      </c>
      <c r="L228" s="37" t="n"/>
      <c r="M228" s="37" t="n"/>
    </row>
    <row r="229">
      <c r="A229" s="37" t="n"/>
      <c r="B229" s="38" t="n"/>
      <c r="C229" s="37" t="n"/>
      <c r="D229" s="37" t="n"/>
      <c r="E229" s="37" t="n"/>
      <c r="F229" s="37" t="n"/>
      <c r="G229" s="37" t="n"/>
      <c r="H229" s="37" t="n"/>
      <c r="I229" s="37" t="n"/>
      <c r="J229" s="38" t="n"/>
      <c r="K229" s="6">
        <f>IF(B229="","",IF(J229="",TODAY()-B229,J229-B229))</f>
        <v/>
      </c>
      <c r="L229" s="37" t="n"/>
      <c r="M229" s="37" t="n"/>
    </row>
    <row r="230">
      <c r="A230" s="37" t="n"/>
      <c r="B230" s="38" t="n"/>
      <c r="C230" s="37" t="n"/>
      <c r="D230" s="37" t="n"/>
      <c r="E230" s="37" t="n"/>
      <c r="F230" s="37" t="n"/>
      <c r="G230" s="37" t="n"/>
      <c r="H230" s="37" t="n"/>
      <c r="I230" s="37" t="n"/>
      <c r="J230" s="38" t="n"/>
      <c r="K230" s="6">
        <f>IF(B230="","",IF(J230="",TODAY()-B230,J230-B230))</f>
        <v/>
      </c>
      <c r="L230" s="37" t="n"/>
      <c r="M230" s="37" t="n"/>
    </row>
    <row r="231">
      <c r="A231" s="37" t="n"/>
      <c r="B231" s="38" t="n"/>
      <c r="C231" s="37" t="n"/>
      <c r="D231" s="37" t="n"/>
      <c r="E231" s="37" t="n"/>
      <c r="F231" s="37" t="n"/>
      <c r="G231" s="37" t="n"/>
      <c r="H231" s="37" t="n"/>
      <c r="I231" s="37" t="n"/>
      <c r="J231" s="38" t="n"/>
      <c r="K231" s="6">
        <f>IF(B231="","",IF(J231="",TODAY()-B231,J231-B231))</f>
        <v/>
      </c>
      <c r="L231" s="37" t="n"/>
      <c r="M231" s="37" t="n"/>
    </row>
    <row r="232">
      <c r="A232" s="37" t="n"/>
      <c r="B232" s="38" t="n"/>
      <c r="C232" s="37" t="n"/>
      <c r="D232" s="37" t="n"/>
      <c r="E232" s="37" t="n"/>
      <c r="F232" s="37" t="n"/>
      <c r="G232" s="37" t="n"/>
      <c r="H232" s="37" t="n"/>
      <c r="I232" s="37" t="n"/>
      <c r="J232" s="38" t="n"/>
      <c r="K232" s="6">
        <f>IF(B232="","",IF(J232="",TODAY()-B232,J232-B232))</f>
        <v/>
      </c>
      <c r="L232" s="37" t="n"/>
      <c r="M232" s="37" t="n"/>
    </row>
    <row r="233">
      <c r="A233" s="37" t="n"/>
      <c r="B233" s="38" t="n"/>
      <c r="C233" s="37" t="n"/>
      <c r="D233" s="37" t="n"/>
      <c r="E233" s="37" t="n"/>
      <c r="F233" s="37" t="n"/>
      <c r="G233" s="37" t="n"/>
      <c r="H233" s="37" t="n"/>
      <c r="I233" s="37" t="n"/>
      <c r="J233" s="38" t="n"/>
      <c r="K233" s="6">
        <f>IF(B233="","",IF(J233="",TODAY()-B233,J233-B233))</f>
        <v/>
      </c>
      <c r="L233" s="37" t="n"/>
      <c r="M233" s="37" t="n"/>
    </row>
    <row r="234">
      <c r="A234" s="37" t="n"/>
      <c r="B234" s="38" t="n"/>
      <c r="C234" s="37" t="n"/>
      <c r="D234" s="37" t="n"/>
      <c r="E234" s="37" t="n"/>
      <c r="F234" s="37" t="n"/>
      <c r="G234" s="37" t="n"/>
      <c r="H234" s="37" t="n"/>
      <c r="I234" s="37" t="n"/>
      <c r="J234" s="38" t="n"/>
      <c r="K234" s="6">
        <f>IF(B234="","",IF(J234="",TODAY()-B234,J234-B234))</f>
        <v/>
      </c>
      <c r="L234" s="37" t="n"/>
      <c r="M234" s="37" t="n"/>
    </row>
    <row r="235">
      <c r="A235" s="37" t="n"/>
      <c r="B235" s="38" t="n"/>
      <c r="C235" s="37" t="n"/>
      <c r="D235" s="37" t="n"/>
      <c r="E235" s="37" t="n"/>
      <c r="F235" s="37" t="n"/>
      <c r="G235" s="37" t="n"/>
      <c r="H235" s="37" t="n"/>
      <c r="I235" s="37" t="n"/>
      <c r="J235" s="38" t="n"/>
      <c r="K235" s="6">
        <f>IF(B235="","",IF(J235="",TODAY()-B235,J235-B235))</f>
        <v/>
      </c>
      <c r="L235" s="37" t="n"/>
      <c r="M235" s="37" t="n"/>
    </row>
    <row r="236">
      <c r="A236" s="37" t="n"/>
      <c r="B236" s="38" t="n"/>
      <c r="C236" s="37" t="n"/>
      <c r="D236" s="37" t="n"/>
      <c r="E236" s="37" t="n"/>
      <c r="F236" s="37" t="n"/>
      <c r="G236" s="37" t="n"/>
      <c r="H236" s="37" t="n"/>
      <c r="I236" s="37" t="n"/>
      <c r="J236" s="38" t="n"/>
      <c r="K236" s="6">
        <f>IF(B236="","",IF(J236="",TODAY()-B236,J236-B236))</f>
        <v/>
      </c>
      <c r="L236" s="37" t="n"/>
      <c r="M236" s="37" t="n"/>
    </row>
    <row r="237">
      <c r="A237" s="37" t="n"/>
      <c r="B237" s="38" t="n"/>
      <c r="C237" s="37" t="n"/>
      <c r="D237" s="37" t="n"/>
      <c r="E237" s="37" t="n"/>
      <c r="F237" s="37" t="n"/>
      <c r="G237" s="37" t="n"/>
      <c r="H237" s="37" t="n"/>
      <c r="I237" s="37" t="n"/>
      <c r="J237" s="38" t="n"/>
      <c r="K237" s="6">
        <f>IF(B237="","",IF(J237="",TODAY()-B237,J237-B237))</f>
        <v/>
      </c>
      <c r="L237" s="37" t="n"/>
      <c r="M237" s="37" t="n"/>
    </row>
    <row r="238">
      <c r="A238" s="37" t="n"/>
      <c r="B238" s="38" t="n"/>
      <c r="C238" s="37" t="n"/>
      <c r="D238" s="37" t="n"/>
      <c r="E238" s="37" t="n"/>
      <c r="F238" s="37" t="n"/>
      <c r="G238" s="37" t="n"/>
      <c r="H238" s="37" t="n"/>
      <c r="I238" s="37" t="n"/>
      <c r="J238" s="38" t="n"/>
      <c r="K238" s="6">
        <f>IF(B238="","",IF(J238="",TODAY()-B238,J238-B238))</f>
        <v/>
      </c>
      <c r="L238" s="37" t="n"/>
      <c r="M238" s="37" t="n"/>
    </row>
    <row r="239">
      <c r="A239" s="37" t="n"/>
      <c r="B239" s="38" t="n"/>
      <c r="C239" s="37" t="n"/>
      <c r="D239" s="37" t="n"/>
      <c r="E239" s="37" t="n"/>
      <c r="F239" s="37" t="n"/>
      <c r="G239" s="37" t="n"/>
      <c r="H239" s="37" t="n"/>
      <c r="I239" s="37" t="n"/>
      <c r="J239" s="38" t="n"/>
      <c r="K239" s="6">
        <f>IF(B239="","",IF(J239="",TODAY()-B239,J239-B239))</f>
        <v/>
      </c>
      <c r="L239" s="37" t="n"/>
      <c r="M239" s="37" t="n"/>
    </row>
    <row r="240">
      <c r="A240" s="37" t="n"/>
      <c r="B240" s="38" t="n"/>
      <c r="C240" s="37" t="n"/>
      <c r="D240" s="37" t="n"/>
      <c r="E240" s="37" t="n"/>
      <c r="F240" s="37" t="n"/>
      <c r="G240" s="37" t="n"/>
      <c r="H240" s="37" t="n"/>
      <c r="I240" s="37" t="n"/>
      <c r="J240" s="38" t="n"/>
      <c r="K240" s="6">
        <f>IF(B240="","",IF(J240="",TODAY()-B240,J240-B240))</f>
        <v/>
      </c>
      <c r="L240" s="37" t="n"/>
      <c r="M240" s="37" t="n"/>
    </row>
    <row r="241">
      <c r="A241" s="37" t="n"/>
      <c r="B241" s="38" t="n"/>
      <c r="C241" s="37" t="n"/>
      <c r="D241" s="37" t="n"/>
      <c r="E241" s="37" t="n"/>
      <c r="F241" s="37" t="n"/>
      <c r="G241" s="37" t="n"/>
      <c r="H241" s="37" t="n"/>
      <c r="I241" s="37" t="n"/>
      <c r="J241" s="38" t="n"/>
      <c r="K241" s="6">
        <f>IF(B241="","",IF(J241="",TODAY()-B241,J241-B241))</f>
        <v/>
      </c>
      <c r="L241" s="37" t="n"/>
      <c r="M241" s="37" t="n"/>
    </row>
    <row r="242">
      <c r="A242" s="37" t="n"/>
      <c r="B242" s="38" t="n"/>
      <c r="C242" s="37" t="n"/>
      <c r="D242" s="37" t="n"/>
      <c r="E242" s="37" t="n"/>
      <c r="F242" s="37" t="n"/>
      <c r="G242" s="37" t="n"/>
      <c r="H242" s="37" t="n"/>
      <c r="I242" s="37" t="n"/>
      <c r="J242" s="38" t="n"/>
      <c r="K242" s="6">
        <f>IF(B242="","",IF(J242="",TODAY()-B242,J242-B242))</f>
        <v/>
      </c>
      <c r="L242" s="37" t="n"/>
      <c r="M242" s="37" t="n"/>
    </row>
    <row r="243">
      <c r="A243" s="37" t="n"/>
      <c r="B243" s="38" t="n"/>
      <c r="C243" s="37" t="n"/>
      <c r="D243" s="37" t="n"/>
      <c r="E243" s="37" t="n"/>
      <c r="F243" s="37" t="n"/>
      <c r="G243" s="37" t="n"/>
      <c r="H243" s="37" t="n"/>
      <c r="I243" s="37" t="n"/>
      <c r="J243" s="38" t="n"/>
      <c r="K243" s="6">
        <f>IF(B243="","",IF(J243="",TODAY()-B243,J243-B243))</f>
        <v/>
      </c>
      <c r="L243" s="37" t="n"/>
      <c r="M243" s="37" t="n"/>
    </row>
    <row r="244">
      <c r="A244" s="37" t="n"/>
      <c r="B244" s="38" t="n"/>
      <c r="C244" s="37" t="n"/>
      <c r="D244" s="37" t="n"/>
      <c r="E244" s="37" t="n"/>
      <c r="F244" s="37" t="n"/>
      <c r="G244" s="37" t="n"/>
      <c r="H244" s="37" t="n"/>
      <c r="I244" s="37" t="n"/>
      <c r="J244" s="38" t="n"/>
      <c r="K244" s="6">
        <f>IF(B244="","",IF(J244="",TODAY()-B244,J244-B244))</f>
        <v/>
      </c>
      <c r="L244" s="37" t="n"/>
      <c r="M244" s="37" t="n"/>
    </row>
    <row r="245">
      <c r="A245" s="37" t="n"/>
      <c r="B245" s="38" t="n"/>
      <c r="C245" s="37" t="n"/>
      <c r="D245" s="37" t="n"/>
      <c r="E245" s="37" t="n"/>
      <c r="F245" s="37" t="n"/>
      <c r="G245" s="37" t="n"/>
      <c r="H245" s="37" t="n"/>
      <c r="I245" s="37" t="n"/>
      <c r="J245" s="38" t="n"/>
      <c r="K245" s="6">
        <f>IF(B245="","",IF(J245="",TODAY()-B245,J245-B245))</f>
        <v/>
      </c>
      <c r="L245" s="37" t="n"/>
      <c r="M245" s="37" t="n"/>
    </row>
    <row r="246">
      <c r="A246" s="37" t="n"/>
      <c r="B246" s="38" t="n"/>
      <c r="C246" s="37" t="n"/>
      <c r="D246" s="37" t="n"/>
      <c r="E246" s="37" t="n"/>
      <c r="F246" s="37" t="n"/>
      <c r="G246" s="37" t="n"/>
      <c r="H246" s="37" t="n"/>
      <c r="I246" s="37" t="n"/>
      <c r="J246" s="38" t="n"/>
      <c r="K246" s="6">
        <f>IF(B246="","",IF(J246="",TODAY()-B246,J246-B246))</f>
        <v/>
      </c>
      <c r="L246" s="37" t="n"/>
      <c r="M246" s="37" t="n"/>
    </row>
    <row r="247">
      <c r="A247" s="37" t="n"/>
      <c r="B247" s="38" t="n"/>
      <c r="C247" s="37" t="n"/>
      <c r="D247" s="37" t="n"/>
      <c r="E247" s="37" t="n"/>
      <c r="F247" s="37" t="n"/>
      <c r="G247" s="37" t="n"/>
      <c r="H247" s="37" t="n"/>
      <c r="I247" s="37" t="n"/>
      <c r="J247" s="38" t="n"/>
      <c r="K247" s="6">
        <f>IF(B247="","",IF(J247="",TODAY()-B247,J247-B247))</f>
        <v/>
      </c>
      <c r="L247" s="37" t="n"/>
      <c r="M247" s="37" t="n"/>
    </row>
    <row r="248">
      <c r="A248" s="37" t="n"/>
      <c r="B248" s="38" t="n"/>
      <c r="C248" s="37" t="n"/>
      <c r="D248" s="37" t="n"/>
      <c r="E248" s="37" t="n"/>
      <c r="F248" s="37" t="n"/>
      <c r="G248" s="37" t="n"/>
      <c r="H248" s="37" t="n"/>
      <c r="I248" s="37" t="n"/>
      <c r="J248" s="38" t="n"/>
      <c r="K248" s="6">
        <f>IF(B248="","",IF(J248="",TODAY()-B248,J248-B248))</f>
        <v/>
      </c>
      <c r="L248" s="37" t="n"/>
      <c r="M248" s="37" t="n"/>
    </row>
    <row r="249">
      <c r="A249" s="37" t="n"/>
      <c r="B249" s="38" t="n"/>
      <c r="C249" s="37" t="n"/>
      <c r="D249" s="37" t="n"/>
      <c r="E249" s="37" t="n"/>
      <c r="F249" s="37" t="n"/>
      <c r="G249" s="37" t="n"/>
      <c r="H249" s="37" t="n"/>
      <c r="I249" s="37" t="n"/>
      <c r="J249" s="38" t="n"/>
      <c r="K249" s="6">
        <f>IF(B249="","",IF(J249="",TODAY()-B249,J249-B249))</f>
        <v/>
      </c>
      <c r="L249" s="37" t="n"/>
      <c r="M249" s="37" t="n"/>
    </row>
    <row r="250">
      <c r="A250" s="37" t="n"/>
      <c r="B250" s="38" t="n"/>
      <c r="C250" s="37" t="n"/>
      <c r="D250" s="37" t="n"/>
      <c r="E250" s="37" t="n"/>
      <c r="F250" s="37" t="n"/>
      <c r="G250" s="37" t="n"/>
      <c r="H250" s="37" t="n"/>
      <c r="I250" s="37" t="n"/>
      <c r="J250" s="38" t="n"/>
      <c r="K250" s="6">
        <f>IF(B250="","",IF(J250="",TODAY()-B250,J250-B250))</f>
        <v/>
      </c>
      <c r="L250" s="37" t="n"/>
      <c r="M250" s="37" t="n"/>
    </row>
    <row r="251">
      <c r="A251" s="37" t="n"/>
      <c r="B251" s="38" t="n"/>
      <c r="C251" s="37" t="n"/>
      <c r="D251" s="37" t="n"/>
      <c r="E251" s="37" t="n"/>
      <c r="F251" s="37" t="n"/>
      <c r="G251" s="37" t="n"/>
      <c r="H251" s="37" t="n"/>
      <c r="I251" s="37" t="n"/>
      <c r="J251" s="38" t="n"/>
      <c r="K251" s="6">
        <f>IF(B251="","",IF(J251="",TODAY()-B251,J251-B251))</f>
        <v/>
      </c>
      <c r="L251" s="37" t="n"/>
      <c r="M251" s="37" t="n"/>
    </row>
    <row r="252">
      <c r="A252" s="37" t="n"/>
      <c r="B252" s="38" t="n"/>
      <c r="C252" s="37" t="n"/>
      <c r="D252" s="37" t="n"/>
      <c r="E252" s="37" t="n"/>
      <c r="F252" s="37" t="n"/>
      <c r="G252" s="37" t="n"/>
      <c r="H252" s="37" t="n"/>
      <c r="I252" s="37" t="n"/>
      <c r="J252" s="38" t="n"/>
      <c r="K252" s="6">
        <f>IF(B252="","",IF(J252="",TODAY()-B252,J252-B252))</f>
        <v/>
      </c>
      <c r="L252" s="37" t="n"/>
      <c r="M252" s="37" t="n"/>
    </row>
    <row r="253">
      <c r="A253" s="37" t="n"/>
      <c r="B253" s="38" t="n"/>
      <c r="C253" s="37" t="n"/>
      <c r="D253" s="37" t="n"/>
      <c r="E253" s="37" t="n"/>
      <c r="F253" s="37" t="n"/>
      <c r="G253" s="37" t="n"/>
      <c r="H253" s="37" t="n"/>
      <c r="I253" s="37" t="n"/>
      <c r="J253" s="38" t="n"/>
      <c r="K253" s="6">
        <f>IF(B253="","",IF(J253="",TODAY()-B253,J253-B253))</f>
        <v/>
      </c>
      <c r="L253" s="37" t="n"/>
      <c r="M253" s="37" t="n"/>
    </row>
    <row r="254">
      <c r="A254" s="37" t="n"/>
      <c r="B254" s="38" t="n"/>
      <c r="C254" s="37" t="n"/>
      <c r="D254" s="37" t="n"/>
      <c r="E254" s="37" t="n"/>
      <c r="F254" s="37" t="n"/>
      <c r="G254" s="37" t="n"/>
      <c r="H254" s="37" t="n"/>
      <c r="I254" s="37" t="n"/>
      <c r="J254" s="38" t="n"/>
      <c r="K254" s="6">
        <f>IF(B254="","",IF(J254="",TODAY()-B254,J254-B254))</f>
        <v/>
      </c>
      <c r="L254" s="37" t="n"/>
      <c r="M254" s="37" t="n"/>
    </row>
    <row r="255">
      <c r="A255" s="37" t="n"/>
      <c r="B255" s="38" t="n"/>
      <c r="C255" s="37" t="n"/>
      <c r="D255" s="37" t="n"/>
      <c r="E255" s="37" t="n"/>
      <c r="F255" s="37" t="n"/>
      <c r="G255" s="37" t="n"/>
      <c r="H255" s="37" t="n"/>
      <c r="I255" s="37" t="n"/>
      <c r="J255" s="38" t="n"/>
      <c r="K255" s="6">
        <f>IF(B255="","",IF(J255="",TODAY()-B255,J255-B255))</f>
        <v/>
      </c>
      <c r="L255" s="37" t="n"/>
      <c r="M255" s="37" t="n"/>
    </row>
    <row r="256">
      <c r="A256" s="37" t="n"/>
      <c r="B256" s="38" t="n"/>
      <c r="C256" s="37" t="n"/>
      <c r="D256" s="37" t="n"/>
      <c r="E256" s="37" t="n"/>
      <c r="F256" s="37" t="n"/>
      <c r="G256" s="37" t="n"/>
      <c r="H256" s="37" t="n"/>
      <c r="I256" s="37" t="n"/>
      <c r="J256" s="38" t="n"/>
      <c r="K256" s="6">
        <f>IF(B256="","",IF(J256="",TODAY()-B256,J256-B256))</f>
        <v/>
      </c>
      <c r="L256" s="37" t="n"/>
      <c r="M256" s="37" t="n"/>
    </row>
    <row r="257">
      <c r="A257" s="37" t="n"/>
      <c r="B257" s="38" t="n"/>
      <c r="C257" s="37" t="n"/>
      <c r="D257" s="37" t="n"/>
      <c r="E257" s="37" t="n"/>
      <c r="F257" s="37" t="n"/>
      <c r="G257" s="37" t="n"/>
      <c r="H257" s="37" t="n"/>
      <c r="I257" s="37" t="n"/>
      <c r="J257" s="38" t="n"/>
      <c r="K257" s="6">
        <f>IF(B257="","",IF(J257="",TODAY()-B257,J257-B257))</f>
        <v/>
      </c>
      <c r="L257" s="37" t="n"/>
      <c r="M257" s="37" t="n"/>
    </row>
    <row r="258">
      <c r="A258" s="37" t="n"/>
      <c r="B258" s="38" t="n"/>
      <c r="C258" s="37" t="n"/>
      <c r="D258" s="37" t="n"/>
      <c r="E258" s="37" t="n"/>
      <c r="F258" s="37" t="n"/>
      <c r="G258" s="37" t="n"/>
      <c r="H258" s="37" t="n"/>
      <c r="I258" s="37" t="n"/>
      <c r="J258" s="38" t="n"/>
      <c r="K258" s="6">
        <f>IF(B258="","",IF(J258="",TODAY()-B258,J258-B258))</f>
        <v/>
      </c>
      <c r="L258" s="37" t="n"/>
      <c r="M258" s="37" t="n"/>
    </row>
    <row r="259">
      <c r="A259" s="37" t="n"/>
      <c r="B259" s="38" t="n"/>
      <c r="C259" s="37" t="n"/>
      <c r="D259" s="37" t="n"/>
      <c r="E259" s="37" t="n"/>
      <c r="F259" s="37" t="n"/>
      <c r="G259" s="37" t="n"/>
      <c r="H259" s="37" t="n"/>
      <c r="I259" s="37" t="n"/>
      <c r="J259" s="38" t="n"/>
      <c r="K259" s="6">
        <f>IF(B259="","",IF(J259="",TODAY()-B259,J259-B259))</f>
        <v/>
      </c>
      <c r="L259" s="37" t="n"/>
      <c r="M259" s="37" t="n"/>
    </row>
    <row r="260">
      <c r="A260" s="37" t="n"/>
      <c r="B260" s="38" t="n"/>
      <c r="C260" s="37" t="n"/>
      <c r="D260" s="37" t="n"/>
      <c r="E260" s="37" t="n"/>
      <c r="F260" s="37" t="n"/>
      <c r="G260" s="37" t="n"/>
      <c r="H260" s="37" t="n"/>
      <c r="I260" s="37" t="n"/>
      <c r="J260" s="38" t="n"/>
      <c r="K260" s="6">
        <f>IF(B260="","",IF(J260="",TODAY()-B260,J260-B260))</f>
        <v/>
      </c>
      <c r="L260" s="37" t="n"/>
      <c r="M260" s="37" t="n"/>
    </row>
    <row r="261">
      <c r="A261" s="37" t="n"/>
      <c r="B261" s="38" t="n"/>
      <c r="C261" s="37" t="n"/>
      <c r="D261" s="37" t="n"/>
      <c r="E261" s="37" t="n"/>
      <c r="F261" s="37" t="n"/>
      <c r="G261" s="37" t="n"/>
      <c r="H261" s="37" t="n"/>
      <c r="I261" s="37" t="n"/>
      <c r="J261" s="38" t="n"/>
      <c r="K261" s="6">
        <f>IF(B261="","",IF(J261="",TODAY()-B261,J261-B261))</f>
        <v/>
      </c>
      <c r="L261" s="37" t="n"/>
      <c r="M261" s="37" t="n"/>
    </row>
    <row r="262">
      <c r="A262" s="37" t="n"/>
      <c r="B262" s="38" t="n"/>
      <c r="C262" s="37" t="n"/>
      <c r="D262" s="37" t="n"/>
      <c r="E262" s="37" t="n"/>
      <c r="F262" s="37" t="n"/>
      <c r="G262" s="37" t="n"/>
      <c r="H262" s="37" t="n"/>
      <c r="I262" s="37" t="n"/>
      <c r="J262" s="38" t="n"/>
      <c r="K262" s="6">
        <f>IF(B262="","",IF(J262="",TODAY()-B262,J262-B262))</f>
        <v/>
      </c>
      <c r="L262" s="37" t="n"/>
      <c r="M262" s="37" t="n"/>
    </row>
    <row r="263">
      <c r="A263" s="37" t="n"/>
      <c r="B263" s="38" t="n"/>
      <c r="C263" s="37" t="n"/>
      <c r="D263" s="37" t="n"/>
      <c r="E263" s="37" t="n"/>
      <c r="F263" s="37" t="n"/>
      <c r="G263" s="37" t="n"/>
      <c r="H263" s="37" t="n"/>
      <c r="I263" s="37" t="n"/>
      <c r="J263" s="38" t="n"/>
      <c r="K263" s="6">
        <f>IF(B263="","",IF(J263="",TODAY()-B263,J263-B263))</f>
        <v/>
      </c>
      <c r="L263" s="37" t="n"/>
      <c r="M263" s="37" t="n"/>
    </row>
    <row r="264">
      <c r="A264" s="37" t="n"/>
      <c r="B264" s="38" t="n"/>
      <c r="C264" s="37" t="n"/>
      <c r="D264" s="37" t="n"/>
      <c r="E264" s="37" t="n"/>
      <c r="F264" s="37" t="n"/>
      <c r="G264" s="37" t="n"/>
      <c r="H264" s="37" t="n"/>
      <c r="I264" s="37" t="n"/>
      <c r="J264" s="38" t="n"/>
      <c r="K264" s="6">
        <f>IF(B264="","",IF(J264="",TODAY()-B264,J264-B264))</f>
        <v/>
      </c>
      <c r="L264" s="37" t="n"/>
      <c r="M264" s="37" t="n"/>
    </row>
    <row r="265">
      <c r="A265" s="37" t="n"/>
      <c r="B265" s="38" t="n"/>
      <c r="C265" s="37" t="n"/>
      <c r="D265" s="37" t="n"/>
      <c r="E265" s="37" t="n"/>
      <c r="F265" s="37" t="n"/>
      <c r="G265" s="37" t="n"/>
      <c r="H265" s="37" t="n"/>
      <c r="I265" s="37" t="n"/>
      <c r="J265" s="38" t="n"/>
      <c r="K265" s="6">
        <f>IF(B265="","",IF(J265="",TODAY()-B265,J265-B265))</f>
        <v/>
      </c>
      <c r="L265" s="37" t="n"/>
      <c r="M265" s="37" t="n"/>
    </row>
    <row r="266">
      <c r="A266" s="37" t="n"/>
      <c r="B266" s="38" t="n"/>
      <c r="C266" s="37" t="n"/>
      <c r="D266" s="37" t="n"/>
      <c r="E266" s="37" t="n"/>
      <c r="F266" s="37" t="n"/>
      <c r="G266" s="37" t="n"/>
      <c r="H266" s="37" t="n"/>
      <c r="I266" s="37" t="n"/>
      <c r="J266" s="38" t="n"/>
      <c r="K266" s="6">
        <f>IF(B266="","",IF(J266="",TODAY()-B266,J266-B266))</f>
        <v/>
      </c>
      <c r="L266" s="37" t="n"/>
      <c r="M266" s="37" t="n"/>
    </row>
    <row r="267">
      <c r="A267" s="37" t="n"/>
      <c r="B267" s="38" t="n"/>
      <c r="C267" s="37" t="n"/>
      <c r="D267" s="37" t="n"/>
      <c r="E267" s="37" t="n"/>
      <c r="F267" s="37" t="n"/>
      <c r="G267" s="37" t="n"/>
      <c r="H267" s="37" t="n"/>
      <c r="I267" s="37" t="n"/>
      <c r="J267" s="38" t="n"/>
      <c r="K267" s="6">
        <f>IF(B267="","",IF(J267="",TODAY()-B267,J267-B267))</f>
        <v/>
      </c>
      <c r="L267" s="37" t="n"/>
      <c r="M267" s="37" t="n"/>
    </row>
    <row r="268">
      <c r="A268" s="37" t="n"/>
      <c r="B268" s="38" t="n"/>
      <c r="C268" s="37" t="n"/>
      <c r="D268" s="37" t="n"/>
      <c r="E268" s="37" t="n"/>
      <c r="F268" s="37" t="n"/>
      <c r="G268" s="37" t="n"/>
      <c r="H268" s="37" t="n"/>
      <c r="I268" s="37" t="n"/>
      <c r="J268" s="38" t="n"/>
      <c r="K268" s="6">
        <f>IF(B268="","",IF(J268="",TODAY()-B268,J268-B268))</f>
        <v/>
      </c>
      <c r="L268" s="37" t="n"/>
      <c r="M268" s="37" t="n"/>
    </row>
    <row r="269">
      <c r="A269" s="37" t="n"/>
      <c r="B269" s="38" t="n"/>
      <c r="C269" s="37" t="n"/>
      <c r="D269" s="37" t="n"/>
      <c r="E269" s="37" t="n"/>
      <c r="F269" s="37" t="n"/>
      <c r="G269" s="37" t="n"/>
      <c r="H269" s="37" t="n"/>
      <c r="I269" s="37" t="n"/>
      <c r="J269" s="38" t="n"/>
      <c r="K269" s="6">
        <f>IF(B269="","",IF(J269="",TODAY()-B269,J269-B269))</f>
        <v/>
      </c>
      <c r="L269" s="37" t="n"/>
      <c r="M269" s="37" t="n"/>
    </row>
    <row r="270">
      <c r="A270" s="37" t="n"/>
      <c r="B270" s="38" t="n"/>
      <c r="C270" s="37" t="n"/>
      <c r="D270" s="37" t="n"/>
      <c r="E270" s="37" t="n"/>
      <c r="F270" s="37" t="n"/>
      <c r="G270" s="37" t="n"/>
      <c r="H270" s="37" t="n"/>
      <c r="I270" s="37" t="n"/>
      <c r="J270" s="38" t="n"/>
      <c r="K270" s="6">
        <f>IF(B270="","",IF(J270="",TODAY()-B270,J270-B270))</f>
        <v/>
      </c>
      <c r="L270" s="37" t="n"/>
      <c r="M270" s="37" t="n"/>
    </row>
    <row r="271">
      <c r="A271" s="37" t="n"/>
      <c r="B271" s="38" t="n"/>
      <c r="C271" s="37" t="n"/>
      <c r="D271" s="37" t="n"/>
      <c r="E271" s="37" t="n"/>
      <c r="F271" s="37" t="n"/>
      <c r="G271" s="37" t="n"/>
      <c r="H271" s="37" t="n"/>
      <c r="I271" s="37" t="n"/>
      <c r="J271" s="38" t="n"/>
      <c r="K271" s="6">
        <f>IF(B271="","",IF(J271="",TODAY()-B271,J271-B271))</f>
        <v/>
      </c>
      <c r="L271" s="37" t="n"/>
      <c r="M271" s="37" t="n"/>
    </row>
    <row r="272">
      <c r="A272" s="37" t="n"/>
      <c r="B272" s="38" t="n"/>
      <c r="C272" s="37" t="n"/>
      <c r="D272" s="37" t="n"/>
      <c r="E272" s="37" t="n"/>
      <c r="F272" s="37" t="n"/>
      <c r="G272" s="37" t="n"/>
      <c r="H272" s="37" t="n"/>
      <c r="I272" s="37" t="n"/>
      <c r="J272" s="38" t="n"/>
      <c r="K272" s="6">
        <f>IF(B272="","",IF(J272="",TODAY()-B272,J272-B272))</f>
        <v/>
      </c>
      <c r="L272" s="37" t="n"/>
      <c r="M272" s="37" t="n"/>
    </row>
    <row r="273">
      <c r="A273" s="37" t="n"/>
      <c r="B273" s="38" t="n"/>
      <c r="C273" s="37" t="n"/>
      <c r="D273" s="37" t="n"/>
      <c r="E273" s="37" t="n"/>
      <c r="F273" s="37" t="n"/>
      <c r="G273" s="37" t="n"/>
      <c r="H273" s="37" t="n"/>
      <c r="I273" s="37" t="n"/>
      <c r="J273" s="38" t="n"/>
      <c r="K273" s="6">
        <f>IF(B273="","",IF(J273="",TODAY()-B273,J273-B273))</f>
        <v/>
      </c>
      <c r="L273" s="37" t="n"/>
      <c r="M273" s="37" t="n"/>
    </row>
    <row r="274">
      <c r="A274" s="37" t="n"/>
      <c r="B274" s="38" t="n"/>
      <c r="C274" s="37" t="n"/>
      <c r="D274" s="37" t="n"/>
      <c r="E274" s="37" t="n"/>
      <c r="F274" s="37" t="n"/>
      <c r="G274" s="37" t="n"/>
      <c r="H274" s="37" t="n"/>
      <c r="I274" s="37" t="n"/>
      <c r="J274" s="38" t="n"/>
      <c r="K274" s="6">
        <f>IF(B274="","",IF(J274="",TODAY()-B274,J274-B274))</f>
        <v/>
      </c>
      <c r="L274" s="37" t="n"/>
      <c r="M274" s="37" t="n"/>
    </row>
    <row r="275">
      <c r="A275" s="37" t="n"/>
      <c r="B275" s="38" t="n"/>
      <c r="C275" s="37" t="n"/>
      <c r="D275" s="37" t="n"/>
      <c r="E275" s="37" t="n"/>
      <c r="F275" s="37" t="n"/>
      <c r="G275" s="37" t="n"/>
      <c r="H275" s="37" t="n"/>
      <c r="I275" s="37" t="n"/>
      <c r="J275" s="38" t="n"/>
      <c r="K275" s="6">
        <f>IF(B275="","",IF(J275="",TODAY()-B275,J275-B275))</f>
        <v/>
      </c>
      <c r="L275" s="37" t="n"/>
      <c r="M275" s="37" t="n"/>
    </row>
    <row r="276">
      <c r="A276" s="37" t="n"/>
      <c r="B276" s="38" t="n"/>
      <c r="C276" s="37" t="n"/>
      <c r="D276" s="37" t="n"/>
      <c r="E276" s="37" t="n"/>
      <c r="F276" s="37" t="n"/>
      <c r="G276" s="37" t="n"/>
      <c r="H276" s="37" t="n"/>
      <c r="I276" s="37" t="n"/>
      <c r="J276" s="38" t="n"/>
      <c r="K276" s="6">
        <f>IF(B276="","",IF(J276="",TODAY()-B276,J276-B276))</f>
        <v/>
      </c>
      <c r="L276" s="37" t="n"/>
      <c r="M276" s="37" t="n"/>
    </row>
    <row r="277">
      <c r="A277" s="37" t="n"/>
      <c r="B277" s="38" t="n"/>
      <c r="C277" s="37" t="n"/>
      <c r="D277" s="37" t="n"/>
      <c r="E277" s="37" t="n"/>
      <c r="F277" s="37" t="n"/>
      <c r="G277" s="37" t="n"/>
      <c r="H277" s="37" t="n"/>
      <c r="I277" s="37" t="n"/>
      <c r="J277" s="38" t="n"/>
      <c r="K277" s="6">
        <f>IF(B277="","",IF(J277="",TODAY()-B277,J277-B277))</f>
        <v/>
      </c>
      <c r="L277" s="37" t="n"/>
      <c r="M277" s="37" t="n"/>
    </row>
    <row r="278">
      <c r="A278" s="37" t="n"/>
      <c r="B278" s="38" t="n"/>
      <c r="C278" s="37" t="n"/>
      <c r="D278" s="37" t="n"/>
      <c r="E278" s="37" t="n"/>
      <c r="F278" s="37" t="n"/>
      <c r="G278" s="37" t="n"/>
      <c r="H278" s="37" t="n"/>
      <c r="I278" s="37" t="n"/>
      <c r="J278" s="38" t="n"/>
      <c r="K278" s="6">
        <f>IF(B278="","",IF(J278="",TODAY()-B278,J278-B278))</f>
        <v/>
      </c>
      <c r="L278" s="37" t="n"/>
      <c r="M278" s="37" t="n"/>
    </row>
    <row r="279">
      <c r="A279" s="37" t="n"/>
      <c r="B279" s="38" t="n"/>
      <c r="C279" s="37" t="n"/>
      <c r="D279" s="37" t="n"/>
      <c r="E279" s="37" t="n"/>
      <c r="F279" s="37" t="n"/>
      <c r="G279" s="37" t="n"/>
      <c r="H279" s="37" t="n"/>
      <c r="I279" s="37" t="n"/>
      <c r="J279" s="38" t="n"/>
      <c r="K279" s="6">
        <f>IF(B279="","",IF(J279="",TODAY()-B279,J279-B279))</f>
        <v/>
      </c>
      <c r="L279" s="37" t="n"/>
      <c r="M279" s="37" t="n"/>
    </row>
    <row r="280">
      <c r="A280" s="37" t="n"/>
      <c r="B280" s="38" t="n"/>
      <c r="C280" s="37" t="n"/>
      <c r="D280" s="37" t="n"/>
      <c r="E280" s="37" t="n"/>
      <c r="F280" s="37" t="n"/>
      <c r="G280" s="37" t="n"/>
      <c r="H280" s="37" t="n"/>
      <c r="I280" s="37" t="n"/>
      <c r="J280" s="38" t="n"/>
      <c r="K280" s="6">
        <f>IF(B280="","",IF(J280="",TODAY()-B280,J280-B280))</f>
        <v/>
      </c>
      <c r="L280" s="37" t="n"/>
      <c r="M280" s="37" t="n"/>
    </row>
    <row r="281">
      <c r="A281" s="37" t="n"/>
      <c r="B281" s="38" t="n"/>
      <c r="C281" s="37" t="n"/>
      <c r="D281" s="37" t="n"/>
      <c r="E281" s="37" t="n"/>
      <c r="F281" s="37" t="n"/>
      <c r="G281" s="37" t="n"/>
      <c r="H281" s="37" t="n"/>
      <c r="I281" s="37" t="n"/>
      <c r="J281" s="38" t="n"/>
      <c r="K281" s="6">
        <f>IF(B281="","",IF(J281="",TODAY()-B281,J281-B281))</f>
        <v/>
      </c>
      <c r="L281" s="37" t="n"/>
      <c r="M281" s="37" t="n"/>
    </row>
    <row r="282">
      <c r="A282" s="37" t="n"/>
      <c r="B282" s="38" t="n"/>
      <c r="C282" s="37" t="n"/>
      <c r="D282" s="37" t="n"/>
      <c r="E282" s="37" t="n"/>
      <c r="F282" s="37" t="n"/>
      <c r="G282" s="37" t="n"/>
      <c r="H282" s="37" t="n"/>
      <c r="I282" s="37" t="n"/>
      <c r="J282" s="38" t="n"/>
      <c r="K282" s="6">
        <f>IF(B282="","",IF(J282="",TODAY()-B282,J282-B282))</f>
        <v/>
      </c>
      <c r="L282" s="37" t="n"/>
      <c r="M282" s="37" t="n"/>
    </row>
    <row r="283">
      <c r="A283" s="37" t="n"/>
      <c r="B283" s="38" t="n"/>
      <c r="C283" s="37" t="n"/>
      <c r="D283" s="37" t="n"/>
      <c r="E283" s="37" t="n"/>
      <c r="F283" s="37" t="n"/>
      <c r="G283" s="37" t="n"/>
      <c r="H283" s="37" t="n"/>
      <c r="I283" s="37" t="n"/>
      <c r="J283" s="38" t="n"/>
      <c r="K283" s="6">
        <f>IF(B283="","",IF(J283="",TODAY()-B283,J283-B283))</f>
        <v/>
      </c>
      <c r="L283" s="37" t="n"/>
      <c r="M283" s="37" t="n"/>
    </row>
    <row r="284">
      <c r="A284" s="37" t="n"/>
      <c r="B284" s="38" t="n"/>
      <c r="C284" s="37" t="n"/>
      <c r="D284" s="37" t="n"/>
      <c r="E284" s="37" t="n"/>
      <c r="F284" s="37" t="n"/>
      <c r="G284" s="37" t="n"/>
      <c r="H284" s="37" t="n"/>
      <c r="I284" s="37" t="n"/>
      <c r="J284" s="38" t="n"/>
      <c r="K284" s="6">
        <f>IF(B284="","",IF(J284="",TODAY()-B284,J284-B284))</f>
        <v/>
      </c>
      <c r="L284" s="37" t="n"/>
      <c r="M284" s="37" t="n"/>
    </row>
    <row r="285">
      <c r="A285" s="37" t="n"/>
      <c r="B285" s="38" t="n"/>
      <c r="C285" s="37" t="n"/>
      <c r="D285" s="37" t="n"/>
      <c r="E285" s="37" t="n"/>
      <c r="F285" s="37" t="n"/>
      <c r="G285" s="37" t="n"/>
      <c r="H285" s="37" t="n"/>
      <c r="I285" s="37" t="n"/>
      <c r="J285" s="38" t="n"/>
      <c r="K285" s="6">
        <f>IF(B285="","",IF(J285="",TODAY()-B285,J285-B285))</f>
        <v/>
      </c>
      <c r="L285" s="37" t="n"/>
      <c r="M285" s="37" t="n"/>
    </row>
    <row r="286">
      <c r="A286" s="37" t="n"/>
      <c r="B286" s="38" t="n"/>
      <c r="C286" s="37" t="n"/>
      <c r="D286" s="37" t="n"/>
      <c r="E286" s="37" t="n"/>
      <c r="F286" s="37" t="n"/>
      <c r="G286" s="37" t="n"/>
      <c r="H286" s="37" t="n"/>
      <c r="I286" s="37" t="n"/>
      <c r="J286" s="38" t="n"/>
      <c r="K286" s="6">
        <f>IF(B286="","",IF(J286="",TODAY()-B286,J286-B286))</f>
        <v/>
      </c>
      <c r="L286" s="37" t="n"/>
      <c r="M286" s="37" t="n"/>
    </row>
    <row r="287">
      <c r="A287" s="37" t="n"/>
      <c r="B287" s="38" t="n"/>
      <c r="C287" s="37" t="n"/>
      <c r="D287" s="37" t="n"/>
      <c r="E287" s="37" t="n"/>
      <c r="F287" s="37" t="n"/>
      <c r="G287" s="37" t="n"/>
      <c r="H287" s="37" t="n"/>
      <c r="I287" s="37" t="n"/>
      <c r="J287" s="38" t="n"/>
      <c r="K287" s="6">
        <f>IF(B287="","",IF(J287="",TODAY()-B287,J287-B287))</f>
        <v/>
      </c>
      <c r="L287" s="37" t="n"/>
      <c r="M287" s="37" t="n"/>
    </row>
    <row r="288">
      <c r="A288" s="37" t="n"/>
      <c r="B288" s="38" t="n"/>
      <c r="C288" s="37" t="n"/>
      <c r="D288" s="37" t="n"/>
      <c r="E288" s="37" t="n"/>
      <c r="F288" s="37" t="n"/>
      <c r="G288" s="37" t="n"/>
      <c r="H288" s="37" t="n"/>
      <c r="I288" s="37" t="n"/>
      <c r="J288" s="38" t="n"/>
      <c r="K288" s="6">
        <f>IF(B288="","",IF(J288="",TODAY()-B288,J288-B288))</f>
        <v/>
      </c>
      <c r="L288" s="37" t="n"/>
      <c r="M288" s="37" t="n"/>
    </row>
    <row r="289">
      <c r="A289" s="37" t="n"/>
      <c r="B289" s="38" t="n"/>
      <c r="C289" s="37" t="n"/>
      <c r="D289" s="37" t="n"/>
      <c r="E289" s="37" t="n"/>
      <c r="F289" s="37" t="n"/>
      <c r="G289" s="37" t="n"/>
      <c r="H289" s="37" t="n"/>
      <c r="I289" s="37" t="n"/>
      <c r="J289" s="38" t="n"/>
      <c r="K289" s="6">
        <f>IF(B289="","",IF(J289="",TODAY()-B289,J289-B289))</f>
        <v/>
      </c>
      <c r="L289" s="37" t="n"/>
      <c r="M289" s="37" t="n"/>
    </row>
    <row r="290">
      <c r="A290" s="37" t="n"/>
      <c r="B290" s="38" t="n"/>
      <c r="C290" s="37" t="n"/>
      <c r="D290" s="37" t="n"/>
      <c r="E290" s="37" t="n"/>
      <c r="F290" s="37" t="n"/>
      <c r="G290" s="37" t="n"/>
      <c r="H290" s="37" t="n"/>
      <c r="I290" s="37" t="n"/>
      <c r="J290" s="38" t="n"/>
      <c r="K290" s="6">
        <f>IF(B290="","",IF(J290="",TODAY()-B290,J290-B290))</f>
        <v/>
      </c>
      <c r="L290" s="37" t="n"/>
      <c r="M290" s="37" t="n"/>
    </row>
    <row r="291">
      <c r="A291" s="37" t="n"/>
      <c r="B291" s="38" t="n"/>
      <c r="C291" s="37" t="n"/>
      <c r="D291" s="37" t="n"/>
      <c r="E291" s="37" t="n"/>
      <c r="F291" s="37" t="n"/>
      <c r="G291" s="37" t="n"/>
      <c r="H291" s="37" t="n"/>
      <c r="I291" s="37" t="n"/>
      <c r="J291" s="38" t="n"/>
      <c r="K291" s="6">
        <f>IF(B291="","",IF(J291="",TODAY()-B291,J291-B291))</f>
        <v/>
      </c>
      <c r="L291" s="37" t="n"/>
      <c r="M291" s="37" t="n"/>
    </row>
    <row r="292">
      <c r="A292" s="37" t="n"/>
      <c r="B292" s="38" t="n"/>
      <c r="C292" s="37" t="n"/>
      <c r="D292" s="37" t="n"/>
      <c r="E292" s="37" t="n"/>
      <c r="F292" s="37" t="n"/>
      <c r="G292" s="37" t="n"/>
      <c r="H292" s="37" t="n"/>
      <c r="I292" s="37" t="n"/>
      <c r="J292" s="38" t="n"/>
      <c r="K292" s="6">
        <f>IF(B292="","",IF(J292="",TODAY()-B292,J292-B292))</f>
        <v/>
      </c>
      <c r="L292" s="37" t="n"/>
      <c r="M292" s="37" t="n"/>
    </row>
    <row r="293">
      <c r="A293" s="37" t="n"/>
      <c r="B293" s="38" t="n"/>
      <c r="C293" s="37" t="n"/>
      <c r="D293" s="37" t="n"/>
      <c r="E293" s="37" t="n"/>
      <c r="F293" s="37" t="n"/>
      <c r="G293" s="37" t="n"/>
      <c r="H293" s="37" t="n"/>
      <c r="I293" s="37" t="n"/>
      <c r="J293" s="38" t="n"/>
      <c r="K293" s="6">
        <f>IF(B293="","",IF(J293="",TODAY()-B293,J293-B293))</f>
        <v/>
      </c>
      <c r="L293" s="37" t="n"/>
      <c r="M293" s="37" t="n"/>
    </row>
    <row r="294">
      <c r="A294" s="37" t="n"/>
      <c r="B294" s="38" t="n"/>
      <c r="C294" s="37" t="n"/>
      <c r="D294" s="37" t="n"/>
      <c r="E294" s="37" t="n"/>
      <c r="F294" s="37" t="n"/>
      <c r="G294" s="37" t="n"/>
      <c r="H294" s="37" t="n"/>
      <c r="I294" s="37" t="n"/>
      <c r="J294" s="38" t="n"/>
      <c r="K294" s="6">
        <f>IF(B294="","",IF(J294="",TODAY()-B294,J294-B294))</f>
        <v/>
      </c>
      <c r="L294" s="37" t="n"/>
      <c r="M294" s="37" t="n"/>
    </row>
    <row r="295">
      <c r="A295" s="37" t="n"/>
      <c r="B295" s="38" t="n"/>
      <c r="C295" s="37" t="n"/>
      <c r="D295" s="37" t="n"/>
      <c r="E295" s="37" t="n"/>
      <c r="F295" s="37" t="n"/>
      <c r="G295" s="37" t="n"/>
      <c r="H295" s="37" t="n"/>
      <c r="I295" s="37" t="n"/>
      <c r="J295" s="38" t="n"/>
      <c r="K295" s="6">
        <f>IF(B295="","",IF(J295="",TODAY()-B295,J295-B295))</f>
        <v/>
      </c>
      <c r="L295" s="37" t="n"/>
      <c r="M295" s="37" t="n"/>
    </row>
    <row r="296">
      <c r="A296" s="37" t="n"/>
      <c r="B296" s="38" t="n"/>
      <c r="C296" s="37" t="n"/>
      <c r="D296" s="37" t="n"/>
      <c r="E296" s="37" t="n"/>
      <c r="F296" s="37" t="n"/>
      <c r="G296" s="37" t="n"/>
      <c r="H296" s="37" t="n"/>
      <c r="I296" s="37" t="n"/>
      <c r="J296" s="38" t="n"/>
      <c r="K296" s="6">
        <f>IF(B296="","",IF(J296="",TODAY()-B296,J296-B296))</f>
        <v/>
      </c>
      <c r="L296" s="37" t="n"/>
      <c r="M296" s="37" t="n"/>
    </row>
    <row r="297">
      <c r="A297" s="37" t="n"/>
      <c r="B297" s="38" t="n"/>
      <c r="C297" s="37" t="n"/>
      <c r="D297" s="37" t="n"/>
      <c r="E297" s="37" t="n"/>
      <c r="F297" s="37" t="n"/>
      <c r="G297" s="37" t="n"/>
      <c r="H297" s="37" t="n"/>
      <c r="I297" s="37" t="n"/>
      <c r="J297" s="38" t="n"/>
      <c r="K297" s="6">
        <f>IF(B297="","",IF(J297="",TODAY()-B297,J297-B297))</f>
        <v/>
      </c>
      <c r="L297" s="37" t="n"/>
      <c r="M297" s="37" t="n"/>
    </row>
    <row r="298">
      <c r="A298" s="37" t="n"/>
      <c r="B298" s="38" t="n"/>
      <c r="C298" s="37" t="n"/>
      <c r="D298" s="37" t="n"/>
      <c r="E298" s="37" t="n"/>
      <c r="F298" s="37" t="n"/>
      <c r="G298" s="37" t="n"/>
      <c r="H298" s="37" t="n"/>
      <c r="I298" s="37" t="n"/>
      <c r="J298" s="38" t="n"/>
      <c r="K298" s="6">
        <f>IF(B298="","",IF(J298="",TODAY()-B298,J298-B298))</f>
        <v/>
      </c>
      <c r="L298" s="37" t="n"/>
      <c r="M298" s="37" t="n"/>
    </row>
    <row r="299">
      <c r="A299" s="37" t="n"/>
      <c r="B299" s="38" t="n"/>
      <c r="C299" s="37" t="n"/>
      <c r="D299" s="37" t="n"/>
      <c r="E299" s="37" t="n"/>
      <c r="F299" s="37" t="n"/>
      <c r="G299" s="37" t="n"/>
      <c r="H299" s="37" t="n"/>
      <c r="I299" s="37" t="n"/>
      <c r="J299" s="38" t="n"/>
      <c r="K299" s="6">
        <f>IF(B299="","",IF(J299="",TODAY()-B299,J299-B299))</f>
        <v/>
      </c>
      <c r="L299" s="37" t="n"/>
      <c r="M299" s="37" t="n"/>
    </row>
    <row r="300">
      <c r="A300" s="37" t="n"/>
      <c r="B300" s="38" t="n"/>
      <c r="C300" s="37" t="n"/>
      <c r="D300" s="37" t="n"/>
      <c r="E300" s="37" t="n"/>
      <c r="F300" s="37" t="n"/>
      <c r="G300" s="37" t="n"/>
      <c r="H300" s="37" t="n"/>
      <c r="I300" s="37" t="n"/>
      <c r="J300" s="38" t="n"/>
      <c r="K300" s="6">
        <f>IF(B300="","",IF(J300="",TODAY()-B300,J300-B300))</f>
        <v/>
      </c>
      <c r="L300" s="37" t="n"/>
      <c r="M300" s="37" t="n"/>
    </row>
  </sheetData>
  <autoFilter ref="A1:M300"/>
  <conditionalFormatting sqref="I2:I30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conditionalFormatting sqref="K2:K300">
    <cfRule type="expression" priority="7" dxfId="0">
      <formula>AND(ISNUMBER(K2),K2&gt;2,I2&lt;&gt;"Resolved")</formula>
    </cfRule>
  </conditionalFormatting>
  <dataValidations count="5">
    <dataValidation sqref="I2:I300" showDropDown="0" showInputMessage="0" showErrorMessage="0" allowBlank="1" type="list">
      <formula1>"Open,In Progress,Resolved"</formula1>
    </dataValidation>
    <dataValidation sqref="G2:G300" showDropDown="0" showInputMessage="0" showErrorMessage="0" allowBlank="1" type="list">
      <formula1>"Low,Medium,High,Blocks demo"</formula1>
    </dataValidation>
    <dataValidation sqref="C2:C3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  <dataValidation sqref="H2:H300" showDropDown="0" showInputMessage="0" showErrorMessage="0" allowBlank="1" type="list">
      <formula1>"Domain &amp; Product Lead,Knowledge &amp; Memory,Agents &amp; Orchestration,Tools &amp; Security,Eval &amp; Red-Team,Deploy &amp; Ops,All,Mentor"</formula1>
    </dataValidation>
    <dataValidation sqref="E2:E300" showDropDown="0" showInputMessage="0" showErrorMessage="0" allowBlank="1" type="list">
      <formula1>"Project Mgmt,Domain/Product,L4–L6 Retrieval,L7 Tools/MCP,L8 Orchestration,L9 Memory,L10 Planning,L11 Multi-agent,L12 Improvement,L13 Evaluation,L14 Human control,L15 Security,L16 Deployment"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0" customWidth="1" min="4" max="4"/>
    <col width="28" customWidth="1" min="5" max="5"/>
    <col width="11" customWidth="1" min="6" max="6"/>
    <col width="12" customWidth="1" min="7" max="7"/>
    <col width="22" customWidth="1" min="8" max="8"/>
    <col width="26" customWidth="1" min="9" max="9"/>
  </cols>
  <sheetData>
    <row r="1">
      <c r="A1" s="13" t="inlineStr">
        <is>
          <t>#</t>
        </is>
      </c>
      <c r="B1" s="13" t="inlineStr">
        <is>
          <t>From</t>
        </is>
      </c>
      <c r="C1" s="13" t="inlineStr">
        <is>
          <t>To</t>
        </is>
      </c>
      <c r="D1" s="13" t="inlineStr">
        <is>
          <t>What Is Handed Over</t>
        </is>
      </c>
      <c r="E1" s="13" t="inlineStr">
        <is>
          <t>Needed Before</t>
        </is>
      </c>
      <c r="F1" s="13" t="inlineStr">
        <is>
          <t>Due Date</t>
        </is>
      </c>
      <c r="G1" s="13" t="inlineStr">
        <is>
          <t>Status</t>
        </is>
      </c>
      <c r="H1" s="13" t="inlineStr">
        <is>
          <t>GitHub Issue</t>
        </is>
      </c>
      <c r="I1" s="13" t="inlineStr">
        <is>
          <t>Notes</t>
        </is>
      </c>
    </row>
    <row r="2">
      <c r="A2" s="14" t="n">
        <v>1</v>
      </c>
      <c r="B2" s="14" t="inlineStr">
        <is>
          <t>Domain &amp; Product Lead</t>
        </is>
      </c>
      <c r="C2" s="14" t="inlineStr">
        <is>
          <t>Knowledge &amp; Memory</t>
        </is>
      </c>
      <c r="D2" s="14" t="inlineStr">
        <is>
          <t>Policy documents and source corpus, with permitted-use notes</t>
        </is>
      </c>
      <c r="E2" s="14" t="inlineStr">
        <is>
          <t>Ingestion work starts</t>
        </is>
      </c>
      <c r="F2" s="17" t="n">
        <v>46328</v>
      </c>
      <c r="G2" s="21" t="inlineStr">
        <is>
          <t>Not Started</t>
        </is>
      </c>
      <c r="H2" s="21" t="n"/>
      <c r="I2" s="21" t="n"/>
    </row>
    <row r="3">
      <c r="A3" s="14" t="n">
        <v>2</v>
      </c>
      <c r="B3" s="14" t="inlineStr">
        <is>
          <t>Domain &amp; Product Lead</t>
        </is>
      </c>
      <c r="C3" s="14" t="inlineStr">
        <is>
          <t>Eval &amp; Red-Team</t>
        </is>
      </c>
      <c r="D3" s="14" t="inlineStr">
        <is>
          <t>Golden-set cases and expected answers</t>
        </is>
      </c>
      <c r="E3" s="14" t="inlineStr">
        <is>
          <t>The first eval run</t>
        </is>
      </c>
      <c r="F3" s="17" t="n">
        <v>46353</v>
      </c>
      <c r="G3" s="21" t="inlineStr">
        <is>
          <t>Not Started</t>
        </is>
      </c>
      <c r="H3" s="21" t="n"/>
      <c r="I3" s="21" t="n"/>
    </row>
    <row r="4">
      <c r="A4" s="14" t="n">
        <v>3</v>
      </c>
      <c r="B4" s="14" t="inlineStr">
        <is>
          <t>Knowledge &amp; Memory</t>
        </is>
      </c>
      <c r="C4" s="14" t="inlineStr">
        <is>
          <t>Agents &amp; Orchestration</t>
        </is>
      </c>
      <c r="D4" s="14" t="inlineStr">
        <is>
          <t>Retrieval and memory interface (signatures, return format)</t>
        </is>
      </c>
      <c r="E4" s="14" t="inlineStr">
        <is>
          <t>Specialist agents call retrieval</t>
        </is>
      </c>
      <c r="F4" s="17" t="n">
        <v>46339</v>
      </c>
      <c r="G4" s="21" t="inlineStr">
        <is>
          <t>Not Started</t>
        </is>
      </c>
      <c r="H4" s="21" t="n"/>
      <c r="I4" s="21" t="n"/>
    </row>
    <row r="5">
      <c r="A5" s="14" t="n">
        <v>4</v>
      </c>
      <c r="B5" s="14" t="inlineStr">
        <is>
          <t>Tools &amp; Security</t>
        </is>
      </c>
      <c r="C5" s="14" t="inlineStr">
        <is>
          <t>Agents &amp; Orchestration</t>
        </is>
      </c>
      <c r="D5" s="14" t="inlineStr">
        <is>
          <t>MCP tool contracts, approval-gate hooks, guardrail API</t>
        </is>
      </c>
      <c r="E5" s="14" t="inlineStr">
        <is>
          <t>Agents use tools</t>
        </is>
      </c>
      <c r="F5" s="17" t="n">
        <v>46339</v>
      </c>
      <c r="G5" s="21" t="inlineStr">
        <is>
          <t>Not Started</t>
        </is>
      </c>
      <c r="H5" s="21" t="n"/>
      <c r="I5" s="21" t="n"/>
    </row>
    <row r="6">
      <c r="A6" s="14" t="n">
        <v>5</v>
      </c>
      <c r="B6" s="14" t="inlineStr">
        <is>
          <t>Agents &amp; Orchestration</t>
        </is>
      </c>
      <c r="C6" s="14" t="inlineStr">
        <is>
          <t>Eval &amp; Red-Team</t>
        </is>
      </c>
      <c r="D6" s="14" t="inlineStr">
        <is>
          <t>Runnable graph entry point and trace output</t>
        </is>
      </c>
      <c r="E6" s="14" t="inlineStr">
        <is>
          <t>End-to-end evals</t>
        </is>
      </c>
      <c r="F6" s="17" t="n">
        <v>46353</v>
      </c>
      <c r="G6" s="21" t="inlineStr">
        <is>
          <t>Not Started</t>
        </is>
      </c>
      <c r="H6" s="21" t="n"/>
      <c r="I6" s="21" t="n"/>
    </row>
    <row r="7">
      <c r="A7" s="14" t="n">
        <v>6</v>
      </c>
      <c r="B7" s="14" t="inlineStr">
        <is>
          <t>Eval &amp; Red-Team</t>
        </is>
      </c>
      <c r="C7" s="14" t="inlineStr">
        <is>
          <t>Deploy &amp; Ops</t>
        </is>
      </c>
      <c r="D7" s="14" t="inlineStr">
        <is>
          <t>Eval CLI, metrics and pass thresholds</t>
        </is>
      </c>
      <c r="E7" s="14" t="inlineStr">
        <is>
          <t>The CI eval gate</t>
        </is>
      </c>
      <c r="F7" s="17" t="n">
        <v>46360</v>
      </c>
      <c r="G7" s="21" t="inlineStr">
        <is>
          <t>Not Started</t>
        </is>
      </c>
      <c r="H7" s="21" t="n"/>
      <c r="I7" s="21" t="n"/>
    </row>
    <row r="8">
      <c r="A8" s="14" t="n">
        <v>7</v>
      </c>
      <c r="B8" s="14" t="inlineStr">
        <is>
          <t>Eval &amp; Red-Team</t>
        </is>
      </c>
      <c r="C8" s="14" t="inlineStr">
        <is>
          <t>Tools &amp; Security</t>
        </is>
      </c>
      <c r="D8" s="14" t="inlineStr">
        <is>
          <t>Red-team findings (via #security-private)</t>
        </is>
      </c>
      <c r="E8" s="14" t="inlineStr">
        <is>
          <t>Each guardrail iteration</t>
        </is>
      </c>
      <c r="F8" s="17" t="n">
        <v>46367</v>
      </c>
      <c r="G8" s="21" t="inlineStr">
        <is>
          <t>Not Started</t>
        </is>
      </c>
      <c r="H8" s="21" t="n"/>
      <c r="I8" s="21" t="n"/>
    </row>
    <row r="9">
      <c r="A9" s="14" t="n">
        <v>8</v>
      </c>
      <c r="B9" s="14" t="inlineStr">
        <is>
          <t>Deploy &amp; Ops</t>
        </is>
      </c>
      <c r="C9" s="14" t="inlineStr">
        <is>
          <t>All</t>
        </is>
      </c>
      <c r="D9" s="14" t="inlineStr">
        <is>
          <t>Docker Compose dev environment, tracing setup</t>
        </is>
      </c>
      <c r="E9" s="14" t="inlineStr">
        <is>
          <t>Week 2 integration</t>
        </is>
      </c>
      <c r="F9" s="17" t="n">
        <v>46332</v>
      </c>
      <c r="G9" s="21" t="inlineStr">
        <is>
          <t>Not Started</t>
        </is>
      </c>
      <c r="H9" s="21" t="n"/>
      <c r="I9" s="21" t="n"/>
    </row>
    <row r="10">
      <c r="A10" s="14" t="n">
        <v>9</v>
      </c>
      <c r="B10" s="14" t="inlineStr">
        <is>
          <t>All</t>
        </is>
      </c>
      <c r="C10" s="14" t="inlineStr">
        <is>
          <t>Domain &amp; Product Lead</t>
        </is>
      </c>
      <c r="D10" s="14" t="inlineStr">
        <is>
          <t>Demo-ready features and known limitations</t>
        </is>
      </c>
      <c r="E10" s="14" t="inlineStr">
        <is>
          <t>Demo rehearsal</t>
        </is>
      </c>
      <c r="F10" s="17" t="n">
        <v>46374</v>
      </c>
      <c r="G10" s="21" t="inlineStr">
        <is>
          <t>Not Started</t>
        </is>
      </c>
      <c r="H10" s="21" t="n"/>
      <c r="I10" s="21" t="n"/>
    </row>
  </sheetData>
  <conditionalFormatting sqref="G2:G50">
    <cfRule type="cellIs" priority="1" operator="equal" dxfId="3">
      <formula>"Done"</formula>
    </cfRule>
    <cfRule type="cellIs" priority="2" operator="equal" dxfId="2">
      <formula>"In Progress"</formula>
    </cfRule>
    <cfRule type="cellIs" priority="3" operator="equal" dxfId="4">
      <formula>"In Review"</formula>
    </cfRule>
    <cfRule type="cellIs" priority="4" operator="equal" dxfId="0">
      <formula>"Blocked"</formula>
    </cfRule>
    <cfRule type="cellIs" priority="5" operator="equal" dxfId="0">
      <formula>"Open"</formula>
    </cfRule>
    <cfRule type="cellIs" priority="6" operator="equal" dxfId="3">
      <formula>"Resolved"</formula>
    </cfRule>
  </conditionalFormatting>
  <dataValidations count="1">
    <dataValidation sqref="G2:G50" showDropDown="0" showInputMessage="0" showErrorMessage="0" allowBlank="1" type="list">
      <formula1>"Not Started,In Progress,In Review,Blocked,Done"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0" customWidth="1" min="3" max="3"/>
    <col width="22" customWidth="1" min="4" max="4"/>
    <col width="12" customWidth="1" min="5" max="5"/>
    <col width="12" customWidth="1" min="6" max="6"/>
    <col width="30" customWidth="1" min="7" max="7"/>
    <col width="24" customWidth="1" min="8" max="8"/>
  </cols>
  <sheetData>
    <row r="1">
      <c r="A1" s="13" t="inlineStr">
        <is>
          <t>ADR #</t>
        </is>
      </c>
      <c r="B1" s="13" t="inlineStr">
        <is>
          <t>Date</t>
        </is>
      </c>
      <c r="C1" s="13" t="inlineStr">
        <is>
          <t>Title</t>
        </is>
      </c>
      <c r="D1" s="13" t="inlineStr">
        <is>
          <t>Owner</t>
        </is>
      </c>
      <c r="E1" s="13" t="inlineStr">
        <is>
          <t>Layers</t>
        </is>
      </c>
      <c r="F1" s="13" t="inlineStr">
        <is>
          <t>Status</t>
        </is>
      </c>
      <c r="G1" s="13" t="inlineStr">
        <is>
          <t>Link (docs/adr/…)</t>
        </is>
      </c>
      <c r="H1" s="13" t="inlineStr">
        <is>
          <t>Roles That Must Act</t>
        </is>
      </c>
    </row>
    <row r="2">
      <c r="A2" s="14" t="inlineStr">
        <is>
          <t>ADR-0001</t>
        </is>
      </c>
      <c r="B2" s="16" t="n">
        <v>46324</v>
      </c>
      <c r="C2" s="14" t="inlineStr">
        <is>
          <t>Overall architecture (follow the reference architecture, Figure 3)</t>
        </is>
      </c>
      <c r="D2" s="14" t="inlineStr">
        <is>
          <t>Agents &amp; Orchestration</t>
        </is>
      </c>
      <c r="E2" s="14" t="inlineStr">
        <is>
          <t>All</t>
        </is>
      </c>
      <c r="F2" s="14" t="inlineStr">
        <is>
          <t>Proposed</t>
        </is>
      </c>
      <c r="G2" s="14" t="n"/>
      <c r="H2" s="14" t="n"/>
    </row>
    <row r="3">
      <c r="A3" s="14" t="inlineStr">
        <is>
          <t>ADR-0002</t>
        </is>
      </c>
      <c r="B3" s="16" t="n">
        <v>46324</v>
      </c>
      <c r="C3" s="14" t="inlineStr">
        <is>
          <t>L13/L15 ownership split</t>
        </is>
      </c>
      <c r="D3" s="14" t="inlineStr">
        <is>
          <t>Eval &amp; Red-Team</t>
        </is>
      </c>
      <c r="E3" s="14" t="inlineStr">
        <is>
          <t>L13, L15</t>
        </is>
      </c>
      <c r="F3" s="14" t="inlineStr">
        <is>
          <t>Proposed</t>
        </is>
      </c>
      <c r="G3" s="14" t="n"/>
      <c r="H3" s="14" t="n"/>
    </row>
  </sheetData>
  <dataValidations count="1">
    <dataValidation sqref="F2:F100" showDropDown="0" showInputMessage="0" showErrorMessage="0" allowBlank="1" type="list">
      <formula1>"Proposed,Accepted,Superseded"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1" customWidth="1" min="4" max="4"/>
    <col width="12" customWidth="1" min="5" max="5"/>
    <col width="11" customWidth="1" min="6" max="6"/>
    <col width="11" customWidth="1" min="7" max="7"/>
    <col width="10" customWidth="1" min="8" max="8"/>
    <col width="12" customWidth="1" min="9" max="9"/>
    <col width="10" customWidth="1" min="10" max="10"/>
    <col width="10" customWidth="1" min="11" max="11"/>
    <col width="11" customWidth="1" min="12" max="12"/>
    <col width="8" customWidth="1" min="13" max="13"/>
    <col width="18" customWidth="1" min="14" max="14"/>
    <col width="22" customWidth="1" min="15" max="15"/>
  </cols>
  <sheetData>
    <row r="1">
      <c r="A1" s="13" t="inlineStr">
        <is>
          <t>Exp</t>
        </is>
      </c>
      <c r="B1" s="13" t="inlineStr">
        <is>
          <t>Question</t>
        </is>
      </c>
      <c r="C1" s="13" t="inlineStr">
        <is>
          <t>Configuration</t>
        </is>
      </c>
      <c r="D1" s="13" t="inlineStr">
        <is>
          <t>Run Date</t>
        </is>
      </c>
      <c r="E1" s="13" t="inlineStr">
        <is>
          <t>Task Success (n/N)</t>
        </is>
      </c>
      <c r="F1" s="13" t="inlineStr">
        <is>
          <t>Policy Violations</t>
        </is>
      </c>
      <c r="G1" s="13" t="inlineStr">
        <is>
          <t>Attack Success</t>
        </is>
      </c>
      <c r="H1" s="13" t="inlineStr">
        <is>
          <t>False Blocks</t>
        </is>
      </c>
      <c r="I1" s="13" t="inlineStr">
        <is>
          <t>Cost / Case (₹ or $)</t>
        </is>
      </c>
      <c r="J1" s="13" t="inlineStr">
        <is>
          <t>Latency p50 (s)</t>
        </is>
      </c>
      <c r="K1" s="13" t="inlineStr">
        <is>
          <t>Latency p95 (s)</t>
        </is>
      </c>
      <c r="L1" s="13" t="inlineStr">
        <is>
          <t>Errors / Timeouts</t>
        </is>
      </c>
      <c r="M1" s="13" t="inlineStr">
        <is>
          <t>Repeat #</t>
        </is>
      </c>
      <c r="N1" s="13" t="inlineStr">
        <is>
          <t>Owner</t>
        </is>
      </c>
      <c r="O1" s="13" t="inlineStr">
        <is>
          <t>Link</t>
        </is>
      </c>
    </row>
    <row r="2">
      <c r="A2" s="14" t="inlineStr">
        <is>
          <t>E1</t>
        </is>
      </c>
      <c r="B2" s="14" t="inlineStr">
        <is>
          <t>Does the agent justify its cost?</t>
        </is>
      </c>
      <c r="C2" s="14" t="inlineStr">
        <is>
          <t>C0 fixed workflow</t>
        </is>
      </c>
      <c r="D2" s="17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14" t="inlineStr">
        <is>
          <t>Eval &amp; Red-Team</t>
        </is>
      </c>
      <c r="O2" s="21" t="n"/>
    </row>
    <row r="3">
      <c r="A3" s="14" t="inlineStr">
        <is>
          <t>E1</t>
        </is>
      </c>
      <c r="B3" s="14" t="inlineStr"/>
      <c r="C3" s="14" t="inlineStr">
        <is>
          <t>C1 single agent</t>
        </is>
      </c>
      <c r="D3" s="17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14" t="inlineStr">
        <is>
          <t>Eval &amp; Red-Team</t>
        </is>
      </c>
      <c r="O3" s="21" t="n"/>
    </row>
    <row r="4">
      <c r="A4" s="14" t="inlineStr">
        <is>
          <t>E1</t>
        </is>
      </c>
      <c r="B4" s="14" t="inlineStr"/>
      <c r="C4" s="14" t="inlineStr">
        <is>
          <t>C2 agent team</t>
        </is>
      </c>
      <c r="D4" s="17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14" t="inlineStr">
        <is>
          <t>Eval &amp; Red-Team</t>
        </is>
      </c>
      <c r="O4" s="21" t="n"/>
    </row>
    <row r="5">
      <c r="A5" s="14" t="inlineStr">
        <is>
          <t>E2</t>
        </is>
      </c>
      <c r="B5" s="14" t="inlineStr">
        <is>
          <t>Do the defences work?</t>
        </is>
      </c>
      <c r="C5" s="14" t="inlineStr">
        <is>
          <t>Defences OFF</t>
        </is>
      </c>
      <c r="D5" s="17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14" t="inlineStr">
        <is>
          <t>Eval &amp; Red-Team</t>
        </is>
      </c>
      <c r="O5" s="21" t="n"/>
    </row>
    <row r="6">
      <c r="A6" s="14" t="inlineStr">
        <is>
          <t>E2</t>
        </is>
      </c>
      <c r="B6" s="14" t="inlineStr"/>
      <c r="C6" s="14" t="inlineStr">
        <is>
          <t>Defences ON</t>
        </is>
      </c>
      <c r="D6" s="17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14" t="inlineStr">
        <is>
          <t>Eval &amp; Red-Team</t>
        </is>
      </c>
      <c r="O6" s="21" t="n"/>
    </row>
    <row r="7">
      <c r="A7" s="14" t="inlineStr">
        <is>
          <t>E3</t>
        </is>
      </c>
      <c r="B7" s="14" t="inlineStr">
        <is>
          <t>Did the lessons help? (repeat ×3)</t>
        </is>
      </c>
      <c r="C7" s="14" t="inlineStr">
        <is>
          <t>Held-out, no playbook</t>
        </is>
      </c>
      <c r="D7" s="17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14" t="inlineStr">
        <is>
          <t>Eval &amp; Red-Team</t>
        </is>
      </c>
      <c r="O7" s="21" t="n"/>
    </row>
    <row r="8">
      <c r="A8" s="14" t="inlineStr">
        <is>
          <t>E3</t>
        </is>
      </c>
      <c r="B8" s="14" t="inlineStr"/>
      <c r="C8" s="14" t="inlineStr">
        <is>
          <t>Held-out, with playbook</t>
        </is>
      </c>
      <c r="D8" s="17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14" t="inlineStr">
        <is>
          <t>Eval &amp; Red-Team</t>
        </is>
      </c>
      <c r="O8" s="21" t="n"/>
    </row>
    <row r="9">
      <c r="A9" s="14" t="inlineStr">
        <is>
          <t>E4</t>
        </is>
      </c>
      <c r="B9" s="14" t="inlineStr">
        <is>
          <t>LLM arithmetic vs calculator (₹ error)</t>
        </is>
      </c>
      <c r="C9" s="14" t="inlineStr">
        <is>
          <t>LLM computes amounts</t>
        </is>
      </c>
      <c r="D9" s="17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14" t="inlineStr">
        <is>
          <t>Eval &amp; Red-Team</t>
        </is>
      </c>
      <c r="O9" s="21" t="n"/>
    </row>
    <row r="10">
      <c r="A10" s="14" t="inlineStr">
        <is>
          <t>E4</t>
        </is>
      </c>
      <c r="B10" s="14" t="inlineStr"/>
      <c r="C10" s="14" t="inlineStr">
        <is>
          <t>Calculator computes amounts</t>
        </is>
      </c>
      <c r="D10" s="17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14" t="inlineStr">
        <is>
          <t>Eval &amp; Red-Team</t>
        </is>
      </c>
      <c r="O10" s="21" t="n"/>
    </row>
    <row r="11">
      <c r="A11" s="14" t="inlineStr">
        <is>
          <t>Mem</t>
        </is>
      </c>
      <c r="B11" s="14" t="inlineStr">
        <is>
          <t>Memory on vs off</t>
        </is>
      </c>
      <c r="C11" s="14" t="inlineStr">
        <is>
          <t>Memory OFF</t>
        </is>
      </c>
      <c r="D11" s="17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14" t="inlineStr">
        <is>
          <t>Knowledge &amp; Memory</t>
        </is>
      </c>
      <c r="O11" s="21" t="n"/>
    </row>
    <row r="12">
      <c r="A12" s="14" t="inlineStr">
        <is>
          <t>Mem</t>
        </is>
      </c>
      <c r="B12" s="14" t="inlineStr"/>
      <c r="C12" s="14" t="inlineStr">
        <is>
          <t>Memory ON</t>
        </is>
      </c>
      <c r="D12" s="17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14" t="inlineStr">
        <is>
          <t>Knowledge &amp; Memory</t>
        </is>
      </c>
      <c r="O12" s="21" t="n"/>
    </row>
    <row r="13">
      <c r="A13" s="14" t="inlineStr">
        <is>
          <t>Ret</t>
        </is>
      </c>
      <c r="B13" s="14" t="inlineStr">
        <is>
          <t>Recall@5 before/after one change</t>
        </is>
      </c>
      <c r="C13" s="14" t="inlineStr">
        <is>
          <t>Baseline</t>
        </is>
      </c>
      <c r="D13" s="17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14" t="inlineStr">
        <is>
          <t>Knowledge &amp; Memory</t>
        </is>
      </c>
      <c r="O13" s="21" t="n"/>
    </row>
    <row r="14">
      <c r="A14" s="14" t="inlineStr">
        <is>
          <t>Ret</t>
        </is>
      </c>
      <c r="B14" s="14" t="inlineStr"/>
      <c r="C14" s="14" t="inlineStr">
        <is>
          <t>After change</t>
        </is>
      </c>
      <c r="D14" s="17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14" t="inlineStr">
        <is>
          <t>Knowledge &amp; Memory</t>
        </is>
      </c>
      <c r="O14" s="21" t="n"/>
    </row>
    <row r="17">
      <c r="A17" s="39" t="inlineStr">
        <is>
          <t>Report every configuration, including failed and timed-out runs. Repeat the final held-out comparison 3 times and report the spread (capstone guide, p.6).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2026-10-27T06:12:43Z</dcterms:created>
  <dcterms:modified xsi:type="dcterms:W3CDTF">2026-10-27T06:12:45Z</dcterms:modified>
</cp:coreProperties>
</file>